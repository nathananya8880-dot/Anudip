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770" activeTab="5"/>
  </bookViews>
  <sheets>
    <sheet name="Retail_Sales_Data" sheetId="1" r:id="rId1"/>
    <sheet name="Logical Functions" sheetId="2" r:id="rId2"/>
    <sheet name="Sales Data" sheetId="9" r:id="rId3"/>
    <sheet name="Product Details" sheetId="10" r:id="rId4"/>
    <sheet name="Sortfilter" sheetId="4" r:id="rId5"/>
    <sheet name="Pivot Table" sheetId="7" r:id="rId6"/>
  </sheets>
  <definedNames>
    <definedName name="_xlnm._FilterDatabase" localSheetId="3" hidden="1">'Product Details'!$A$1:$G$151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<sst xmlns="http://schemas.openxmlformats.org/spreadsheetml/2006/main" count="6621" uniqueCount="554">
  <si>
    <t>Order ID</t>
  </si>
  <si>
    <t>Order Date</t>
  </si>
  <si>
    <t>Customer ID</t>
  </si>
  <si>
    <t>Customer Name</t>
  </si>
  <si>
    <t>Gender</t>
  </si>
  <si>
    <t>Age</t>
  </si>
  <si>
    <t>City</t>
  </si>
  <si>
    <t>State</t>
  </si>
  <si>
    <t>Product Category</t>
  </si>
  <si>
    <t>Product Name</t>
  </si>
  <si>
    <t>Quantity</t>
  </si>
  <si>
    <t>Unit Price</t>
  </si>
  <si>
    <t>Discount (%)</t>
  </si>
  <si>
    <t>Sales Amount</t>
  </si>
  <si>
    <t>Payment Mode</t>
  </si>
  <si>
    <t>R001</t>
  </si>
  <si>
    <t>02-01-2025</t>
  </si>
  <si>
    <t>C101</t>
  </si>
  <si>
    <t>Arjun</t>
  </si>
  <si>
    <t>M</t>
  </si>
  <si>
    <t>Delhi</t>
  </si>
  <si>
    <t>Furniture</t>
  </si>
  <si>
    <t>Office Chair</t>
  </si>
  <si>
    <t>UPI</t>
  </si>
  <si>
    <t>R002</t>
  </si>
  <si>
    <t>03-01-2025</t>
  </si>
  <si>
    <t>C102</t>
  </si>
  <si>
    <t>Rakesh</t>
  </si>
  <si>
    <t>Mumbai</t>
  </si>
  <si>
    <t>Maharashtra</t>
  </si>
  <si>
    <t>Clothing</t>
  </si>
  <si>
    <t>T-Shirt</t>
  </si>
  <si>
    <t>Debit Card</t>
  </si>
  <si>
    <t>R003</t>
  </si>
  <si>
    <t>04-01-2025</t>
  </si>
  <si>
    <t>C103</t>
  </si>
  <si>
    <t>Anita</t>
  </si>
  <si>
    <t>F</t>
  </si>
  <si>
    <t>Kochi</t>
  </si>
  <si>
    <t>Kerala</t>
  </si>
  <si>
    <t>R004</t>
  </si>
  <si>
    <t>05-01-2025</t>
  </si>
  <si>
    <t>C104</t>
  </si>
  <si>
    <t>Ahmedabad</t>
  </si>
  <si>
    <t>Gujrat</t>
  </si>
  <si>
    <t>Formal Shirt</t>
  </si>
  <si>
    <t>R005</t>
  </si>
  <si>
    <t>06-01-2025</t>
  </si>
  <si>
    <t>C105</t>
  </si>
  <si>
    <t>Suman</t>
  </si>
  <si>
    <t>Lucknow</t>
  </si>
  <si>
    <t>Uttar Pradesh</t>
  </si>
  <si>
    <t>Jacket</t>
  </si>
  <si>
    <t>R006</t>
  </si>
  <si>
    <t>07-01-2025</t>
  </si>
  <si>
    <t>C106</t>
  </si>
  <si>
    <t>Ritu</t>
  </si>
  <si>
    <t>Bhopal</t>
  </si>
  <si>
    <t>Madhya Pradesh</t>
  </si>
  <si>
    <t>Groceries</t>
  </si>
  <si>
    <t>Rice Bag</t>
  </si>
  <si>
    <t>Cash</t>
  </si>
  <si>
    <t>R007</t>
  </si>
  <si>
    <t>08-01-2025</t>
  </si>
  <si>
    <t>C107</t>
  </si>
  <si>
    <t>Credit Card</t>
  </si>
  <si>
    <t>R008</t>
  </si>
  <si>
    <t>09-01-2025</t>
  </si>
  <si>
    <t>C108</t>
  </si>
  <si>
    <t>Pooja</t>
  </si>
  <si>
    <t>Chandigarh</t>
  </si>
  <si>
    <t>Wheat Flour</t>
  </si>
  <si>
    <t>R009</t>
  </si>
  <si>
    <t>10-01-2025</t>
  </si>
  <si>
    <t>C109</t>
  </si>
  <si>
    <t>Manoj</t>
  </si>
  <si>
    <t>Jeans</t>
  </si>
  <si>
    <t>R010</t>
  </si>
  <si>
    <t>11-01-2025</t>
  </si>
  <si>
    <t>C110</t>
  </si>
  <si>
    <t>Rohit</t>
  </si>
  <si>
    <t>Kolkata</t>
  </si>
  <si>
    <t>West Bengal</t>
  </si>
  <si>
    <t>Electronics</t>
  </si>
  <si>
    <t>Power Bank</t>
  </si>
  <si>
    <t>R011</t>
  </si>
  <si>
    <t>12-01-2025</t>
  </si>
  <si>
    <t>C111</t>
  </si>
  <si>
    <t>R012</t>
  </si>
  <si>
    <t>13-01-2025</t>
  </si>
  <si>
    <t>C112</t>
  </si>
  <si>
    <t>Priya</t>
  </si>
  <si>
    <t>Smart Watch</t>
  </si>
  <si>
    <t>R013</t>
  </si>
  <si>
    <t>14-01-2025</t>
  </si>
  <si>
    <t>C113</t>
  </si>
  <si>
    <t>Kurti</t>
  </si>
  <si>
    <t>R014</t>
  </si>
  <si>
    <t>15-01-2025</t>
  </si>
  <si>
    <t>C114</t>
  </si>
  <si>
    <t>Patna</t>
  </si>
  <si>
    <t>Bihar</t>
  </si>
  <si>
    <t>R015</t>
  </si>
  <si>
    <t>16-01-2025</t>
  </si>
  <si>
    <t>C115</t>
  </si>
  <si>
    <t>Meena</t>
  </si>
  <si>
    <t>R016</t>
  </si>
  <si>
    <t>17-01-2025</t>
  </si>
  <si>
    <t>C116</t>
  </si>
  <si>
    <t>Deepak</t>
  </si>
  <si>
    <t>Cooking Oil</t>
  </si>
  <si>
    <t>R017</t>
  </si>
  <si>
    <t>18-01-2025</t>
  </si>
  <si>
    <t>C117</t>
  </si>
  <si>
    <t>Swati</t>
  </si>
  <si>
    <t>R018</t>
  </si>
  <si>
    <t>19-01-2025</t>
  </si>
  <si>
    <t>C118</t>
  </si>
  <si>
    <t>Router</t>
  </si>
  <si>
    <t>R019</t>
  </si>
  <si>
    <t>20-01-2025</t>
  </si>
  <si>
    <t>C119</t>
  </si>
  <si>
    <t>R020</t>
  </si>
  <si>
    <t>21-01-2025</t>
  </si>
  <si>
    <t>C120</t>
  </si>
  <si>
    <t>Kajal</t>
  </si>
  <si>
    <t>R021</t>
  </si>
  <si>
    <t>22-01-2025</t>
  </si>
  <si>
    <t>C121</t>
  </si>
  <si>
    <t>Study Table</t>
  </si>
  <si>
    <t>R022</t>
  </si>
  <si>
    <t>23-01-2025</t>
  </si>
  <si>
    <t>C122</t>
  </si>
  <si>
    <t>Headphones</t>
  </si>
  <si>
    <t>R023</t>
  </si>
  <si>
    <t>24-01-2025</t>
  </si>
  <si>
    <t>C123</t>
  </si>
  <si>
    <t>R024</t>
  </si>
  <si>
    <t>25-01-2025</t>
  </si>
  <si>
    <t>C124</t>
  </si>
  <si>
    <t>Jaipur</t>
  </si>
  <si>
    <t>Rajasthan</t>
  </si>
  <si>
    <t>R025</t>
  </si>
  <si>
    <t>26-01-2025</t>
  </si>
  <si>
    <t>C125</t>
  </si>
  <si>
    <t>Rahul</t>
  </si>
  <si>
    <t>R026</t>
  </si>
  <si>
    <t>27-01-2025</t>
  </si>
  <si>
    <t>C126</t>
  </si>
  <si>
    <t>Neha</t>
  </si>
  <si>
    <t>R027</t>
  </si>
  <si>
    <t>28-01-2025</t>
  </si>
  <si>
    <t>C127</t>
  </si>
  <si>
    <t>R028</t>
  </si>
  <si>
    <t>29-01-2025</t>
  </si>
  <si>
    <t>C128</t>
  </si>
  <si>
    <t>R029</t>
  </si>
  <si>
    <t>30-01-2025</t>
  </si>
  <si>
    <t>C129</t>
  </si>
  <si>
    <t>Vikram</t>
  </si>
  <si>
    <t>R030</t>
  </si>
  <si>
    <t>31-01-2025</t>
  </si>
  <si>
    <t>C130</t>
  </si>
  <si>
    <t>Amit</t>
  </si>
  <si>
    <t>Bluetooth Speaker</t>
  </si>
  <si>
    <t>R031</t>
  </si>
  <si>
    <t>01-02-2025</t>
  </si>
  <si>
    <t>C131</t>
  </si>
  <si>
    <t>R032</t>
  </si>
  <si>
    <t>02-02-2025</t>
  </si>
  <si>
    <t>C132</t>
  </si>
  <si>
    <t>Sugar</t>
  </si>
  <si>
    <t>R033</t>
  </si>
  <si>
    <t>03-02-2025</t>
  </si>
  <si>
    <t>C133</t>
  </si>
  <si>
    <t>R034</t>
  </si>
  <si>
    <t>04-02-2025</t>
  </si>
  <si>
    <t>C134</t>
  </si>
  <si>
    <t>R035</t>
  </si>
  <si>
    <t>05-02-2025</t>
  </si>
  <si>
    <t>C135</t>
  </si>
  <si>
    <t>R036</t>
  </si>
  <si>
    <t>06-02-2025</t>
  </si>
  <si>
    <t>C136</t>
  </si>
  <si>
    <t>R037</t>
  </si>
  <si>
    <t>07-02-2025</t>
  </si>
  <si>
    <t>C137</t>
  </si>
  <si>
    <t>R038</t>
  </si>
  <si>
    <t>08-02-2025</t>
  </si>
  <si>
    <t>C138</t>
  </si>
  <si>
    <t>Side Table</t>
  </si>
  <si>
    <t>R039</t>
  </si>
  <si>
    <t>09-02-2025</t>
  </si>
  <si>
    <t>C139</t>
  </si>
  <si>
    <t>R040</t>
  </si>
  <si>
    <t>10-02-2025</t>
  </si>
  <si>
    <t>C140</t>
  </si>
  <si>
    <t>Bookshelf</t>
  </si>
  <si>
    <t>R041</t>
  </si>
  <si>
    <t>11-02-2025</t>
  </si>
  <si>
    <t>C141</t>
  </si>
  <si>
    <t>R042</t>
  </si>
  <si>
    <t>12-02-2025</t>
  </si>
  <si>
    <t>C142</t>
  </si>
  <si>
    <t>Sonali</t>
  </si>
  <si>
    <t>R043</t>
  </si>
  <si>
    <t>13-02-2025</t>
  </si>
  <si>
    <t>C143</t>
  </si>
  <si>
    <t>R044</t>
  </si>
  <si>
    <t>14-02-2025</t>
  </si>
  <si>
    <t>C144</t>
  </si>
  <si>
    <t>R045</t>
  </si>
  <si>
    <t>15-02-2025</t>
  </si>
  <si>
    <t>C145</t>
  </si>
  <si>
    <t>R046</t>
  </si>
  <si>
    <t>16-02-2025</t>
  </si>
  <si>
    <t>C146</t>
  </si>
  <si>
    <t>R047</t>
  </si>
  <si>
    <t>17-02-2025</t>
  </si>
  <si>
    <t>C147</t>
  </si>
  <si>
    <t>R048</t>
  </si>
  <si>
    <t>18-02-2025</t>
  </si>
  <si>
    <t>C148</t>
  </si>
  <si>
    <t>R049</t>
  </si>
  <si>
    <t>19-02-2025</t>
  </si>
  <si>
    <t>C149</t>
  </si>
  <si>
    <t>R050</t>
  </si>
  <si>
    <t>20-02-2025</t>
  </si>
  <si>
    <t>C150</t>
  </si>
  <si>
    <t>R051</t>
  </si>
  <si>
    <t>21-02-2025</t>
  </si>
  <si>
    <t>C151</t>
  </si>
  <si>
    <t>R052</t>
  </si>
  <si>
    <t>22-02-2025</t>
  </si>
  <si>
    <t>C152</t>
  </si>
  <si>
    <t>R053</t>
  </si>
  <si>
    <t>23-02-2025</t>
  </si>
  <si>
    <t>C153</t>
  </si>
  <si>
    <t>R054</t>
  </si>
  <si>
    <t>24-02-2025</t>
  </si>
  <si>
    <t>C154</t>
  </si>
  <si>
    <t>R055</t>
  </si>
  <si>
    <t>25-02-2025</t>
  </si>
  <si>
    <t>C155</t>
  </si>
  <si>
    <t>R056</t>
  </si>
  <si>
    <t>26-02-2025</t>
  </si>
  <si>
    <t>C156</t>
  </si>
  <si>
    <t>R057</t>
  </si>
  <si>
    <t>27-02-2025</t>
  </si>
  <si>
    <t>C157</t>
  </si>
  <si>
    <t>R058</t>
  </si>
  <si>
    <t>28-02-2025</t>
  </si>
  <si>
    <t>C158</t>
  </si>
  <si>
    <t>Nisha</t>
  </si>
  <si>
    <t>R059</t>
  </si>
  <si>
    <t>01-03-2025</t>
  </si>
  <si>
    <t>C159</t>
  </si>
  <si>
    <t>R060</t>
  </si>
  <si>
    <t>02-03-2025</t>
  </si>
  <si>
    <t>C160</t>
  </si>
  <si>
    <t>R061</t>
  </si>
  <si>
    <t>03-03-2025</t>
  </si>
  <si>
    <t>C161</t>
  </si>
  <si>
    <t>R062</t>
  </si>
  <si>
    <t>04-03-2025</t>
  </si>
  <si>
    <t>C162</t>
  </si>
  <si>
    <t>R063</t>
  </si>
  <si>
    <t>05-03-2025</t>
  </si>
  <si>
    <t>C163</t>
  </si>
  <si>
    <t>R064</t>
  </si>
  <si>
    <t>06-03-2025</t>
  </si>
  <si>
    <t>C164</t>
  </si>
  <si>
    <t>R065</t>
  </si>
  <si>
    <t>07-03-2025</t>
  </si>
  <si>
    <t>C165</t>
  </si>
  <si>
    <t>R066</t>
  </si>
  <si>
    <t>08-03-2025</t>
  </si>
  <si>
    <t>C166</t>
  </si>
  <si>
    <t>R067</t>
  </si>
  <si>
    <t>09-03-2025</t>
  </si>
  <si>
    <t>C167</t>
  </si>
  <si>
    <t>R068</t>
  </si>
  <si>
    <t>10-03-2025</t>
  </si>
  <si>
    <t>C168</t>
  </si>
  <si>
    <t>R069</t>
  </si>
  <si>
    <t>11-03-2025</t>
  </si>
  <si>
    <t>C169</t>
  </si>
  <si>
    <t>R070</t>
  </si>
  <si>
    <t>12-03-2025</t>
  </si>
  <si>
    <t>C170</t>
  </si>
  <si>
    <t>R071</t>
  </si>
  <si>
    <t>13-03-2025</t>
  </si>
  <si>
    <t>C171</t>
  </si>
  <si>
    <t>R072</t>
  </si>
  <si>
    <t>14-03-2025</t>
  </si>
  <si>
    <t>C172</t>
  </si>
  <si>
    <t>R073</t>
  </si>
  <si>
    <t>15-03-2025</t>
  </si>
  <si>
    <t>C173</t>
  </si>
  <si>
    <t>R074</t>
  </si>
  <si>
    <t>16-03-2025</t>
  </si>
  <si>
    <t>C174</t>
  </si>
  <si>
    <t>R075</t>
  </si>
  <si>
    <t>17-03-2025</t>
  </si>
  <si>
    <t>C175</t>
  </si>
  <si>
    <t>R076</t>
  </si>
  <si>
    <t>18-03-2025</t>
  </si>
  <si>
    <t>C176</t>
  </si>
  <si>
    <t>R077</t>
  </si>
  <si>
    <t>19-03-2025</t>
  </si>
  <si>
    <t>C177</t>
  </si>
  <si>
    <t>R078</t>
  </si>
  <si>
    <t>20-03-2025</t>
  </si>
  <si>
    <t>C178</t>
  </si>
  <si>
    <t>R079</t>
  </si>
  <si>
    <t>21-03-2025</t>
  </si>
  <si>
    <t>C179</t>
  </si>
  <si>
    <t>R080</t>
  </si>
  <si>
    <t>22-03-2025</t>
  </si>
  <si>
    <t>C180</t>
  </si>
  <si>
    <t>Sachin</t>
  </si>
  <si>
    <t>R081</t>
  </si>
  <si>
    <t>23-03-2025</t>
  </si>
  <si>
    <t>C181</t>
  </si>
  <si>
    <t>R082</t>
  </si>
  <si>
    <t>24-03-2025</t>
  </si>
  <si>
    <t>C182</t>
  </si>
  <si>
    <t>R083</t>
  </si>
  <si>
    <t>25-03-2025</t>
  </si>
  <si>
    <t>C183</t>
  </si>
  <si>
    <t>R084</t>
  </si>
  <si>
    <t>26-03-2025</t>
  </si>
  <si>
    <t>C184</t>
  </si>
  <si>
    <t>R085</t>
  </si>
  <si>
    <t>27-03-2025</t>
  </si>
  <si>
    <t>C185</t>
  </si>
  <si>
    <t>R086</t>
  </si>
  <si>
    <t>28-03-2025</t>
  </si>
  <si>
    <t>C186</t>
  </si>
  <si>
    <t>R087</t>
  </si>
  <si>
    <t>29-03-2025</t>
  </si>
  <si>
    <t>C187</t>
  </si>
  <si>
    <t>R088</t>
  </si>
  <si>
    <t>30-03-2025</t>
  </si>
  <si>
    <t>C188</t>
  </si>
  <si>
    <t>R089</t>
  </si>
  <si>
    <t>31-03-2025</t>
  </si>
  <si>
    <t>C189</t>
  </si>
  <si>
    <t>R090</t>
  </si>
  <si>
    <t>01-04-2025</t>
  </si>
  <si>
    <t>C190</t>
  </si>
  <si>
    <t>R091</t>
  </si>
  <si>
    <t>02-04-2025</t>
  </si>
  <si>
    <t>C191</t>
  </si>
  <si>
    <t>R092</t>
  </si>
  <si>
    <t>03-04-2025</t>
  </si>
  <si>
    <t>C192</t>
  </si>
  <si>
    <t>R093</t>
  </si>
  <si>
    <t>04-04-2025</t>
  </si>
  <si>
    <t>C193</t>
  </si>
  <si>
    <t>R094</t>
  </si>
  <si>
    <t>05-04-2025</t>
  </si>
  <si>
    <t>C194</t>
  </si>
  <si>
    <t>R095</t>
  </si>
  <si>
    <t>06-04-2025</t>
  </si>
  <si>
    <t>C195</t>
  </si>
  <si>
    <t>R096</t>
  </si>
  <si>
    <t>07-04-2025</t>
  </si>
  <si>
    <t>C196</t>
  </si>
  <si>
    <t>R097</t>
  </si>
  <si>
    <t>08-04-2025</t>
  </si>
  <si>
    <t>C197</t>
  </si>
  <si>
    <t>R098</t>
  </si>
  <si>
    <t>09-04-2025</t>
  </si>
  <si>
    <t>C198</t>
  </si>
  <si>
    <t>R099</t>
  </si>
  <si>
    <t>10-04-2025</t>
  </si>
  <si>
    <t>C199</t>
  </si>
  <si>
    <t>R100</t>
  </si>
  <si>
    <t>11-04-2025</t>
  </si>
  <si>
    <t>C200</t>
  </si>
  <si>
    <t>R101</t>
  </si>
  <si>
    <t>12-04-2025</t>
  </si>
  <si>
    <t>C201</t>
  </si>
  <si>
    <t>R102</t>
  </si>
  <si>
    <t>13-04-2025</t>
  </si>
  <si>
    <t>C202</t>
  </si>
  <si>
    <t>R103</t>
  </si>
  <si>
    <t>14-04-2025</t>
  </si>
  <si>
    <t>C203</t>
  </si>
  <si>
    <t>R104</t>
  </si>
  <si>
    <t>15-04-2025</t>
  </si>
  <si>
    <t>C204</t>
  </si>
  <si>
    <t>R105</t>
  </si>
  <si>
    <t>16-04-2025</t>
  </si>
  <si>
    <t>C205</t>
  </si>
  <si>
    <t>R106</t>
  </si>
  <si>
    <t>17-04-2025</t>
  </si>
  <si>
    <t>C206</t>
  </si>
  <si>
    <t>R107</t>
  </si>
  <si>
    <t>18-04-2025</t>
  </si>
  <si>
    <t>C207</t>
  </si>
  <si>
    <t>R108</t>
  </si>
  <si>
    <t>19-04-2025</t>
  </si>
  <si>
    <t>C208</t>
  </si>
  <si>
    <t>R109</t>
  </si>
  <si>
    <t>20-04-2025</t>
  </si>
  <si>
    <t>C209</t>
  </si>
  <si>
    <t>R110</t>
  </si>
  <si>
    <t>21-04-2025</t>
  </si>
  <si>
    <t>C210</t>
  </si>
  <si>
    <t>R111</t>
  </si>
  <si>
    <t>22-04-2025</t>
  </si>
  <si>
    <t>C211</t>
  </si>
  <si>
    <t>R112</t>
  </si>
  <si>
    <t>23-04-2025</t>
  </si>
  <si>
    <t>C212</t>
  </si>
  <si>
    <t>R113</t>
  </si>
  <si>
    <t>24-04-2025</t>
  </si>
  <si>
    <t>C213</t>
  </si>
  <si>
    <t>R114</t>
  </si>
  <si>
    <t>25-04-2025</t>
  </si>
  <si>
    <t>C214</t>
  </si>
  <si>
    <t>R115</t>
  </si>
  <si>
    <t>26-04-2025</t>
  </si>
  <si>
    <t>C215</t>
  </si>
  <si>
    <t>R116</t>
  </si>
  <si>
    <t>27-04-2025</t>
  </si>
  <si>
    <t>C216</t>
  </si>
  <si>
    <t>R117</t>
  </si>
  <si>
    <t>28-04-2025</t>
  </si>
  <si>
    <t>C217</t>
  </si>
  <si>
    <t>R118</t>
  </si>
  <si>
    <t>29-04-2025</t>
  </si>
  <si>
    <t>C218</t>
  </si>
  <si>
    <t>R119</t>
  </si>
  <si>
    <t>30-04-2025</t>
  </si>
  <si>
    <t>C219</t>
  </si>
  <si>
    <t>R120</t>
  </si>
  <si>
    <t>01-05-2025</t>
  </si>
  <si>
    <t>C220</t>
  </si>
  <si>
    <t>R121</t>
  </si>
  <si>
    <t>02-05-2025</t>
  </si>
  <si>
    <t>C221</t>
  </si>
  <si>
    <t>R122</t>
  </si>
  <si>
    <t>03-05-2025</t>
  </si>
  <si>
    <t>C222</t>
  </si>
  <si>
    <t>R123</t>
  </si>
  <si>
    <t>04-05-2025</t>
  </si>
  <si>
    <t>C223</t>
  </si>
  <si>
    <t>R124</t>
  </si>
  <si>
    <t>05-05-2025</t>
  </si>
  <si>
    <t>C224</t>
  </si>
  <si>
    <t>R125</t>
  </si>
  <si>
    <t>06-05-2025</t>
  </si>
  <si>
    <t>C225</t>
  </si>
  <si>
    <t>R126</t>
  </si>
  <si>
    <t>07-05-2025</t>
  </si>
  <si>
    <t>C226</t>
  </si>
  <si>
    <t>R127</t>
  </si>
  <si>
    <t>08-05-2025</t>
  </si>
  <si>
    <t>C227</t>
  </si>
  <si>
    <t>R128</t>
  </si>
  <si>
    <t>09-05-2025</t>
  </si>
  <si>
    <t>C228</t>
  </si>
  <si>
    <t>R129</t>
  </si>
  <si>
    <t>10-05-2025</t>
  </si>
  <si>
    <t>C229</t>
  </si>
  <si>
    <t>R130</t>
  </si>
  <si>
    <t>11-05-2025</t>
  </si>
  <si>
    <t>C230</t>
  </si>
  <si>
    <t>R131</t>
  </si>
  <si>
    <t>12-05-2025</t>
  </si>
  <si>
    <t>C231</t>
  </si>
  <si>
    <t>R132</t>
  </si>
  <si>
    <t>13-05-2025</t>
  </si>
  <si>
    <t>C232</t>
  </si>
  <si>
    <t>R133</t>
  </si>
  <si>
    <t>14-05-2025</t>
  </si>
  <si>
    <t>C233</t>
  </si>
  <si>
    <t>R134</t>
  </si>
  <si>
    <t>15-05-2025</t>
  </si>
  <si>
    <t>C234</t>
  </si>
  <si>
    <t>R135</t>
  </si>
  <si>
    <t>16-05-2025</t>
  </si>
  <si>
    <t>C235</t>
  </si>
  <si>
    <t>R136</t>
  </si>
  <si>
    <t>17-05-2025</t>
  </si>
  <si>
    <t>C236</t>
  </si>
  <si>
    <t>R137</t>
  </si>
  <si>
    <t>18-05-2025</t>
  </si>
  <si>
    <t>C237</t>
  </si>
  <si>
    <t>R138</t>
  </si>
  <si>
    <t>19-05-2025</t>
  </si>
  <si>
    <t>C238</t>
  </si>
  <si>
    <t>R139</t>
  </si>
  <si>
    <t>20-05-2025</t>
  </si>
  <si>
    <t>C239</t>
  </si>
  <si>
    <t>R140</t>
  </si>
  <si>
    <t>21-05-2025</t>
  </si>
  <si>
    <t>C240</t>
  </si>
  <si>
    <t>R141</t>
  </si>
  <si>
    <t>22-05-2025</t>
  </si>
  <si>
    <t>C241</t>
  </si>
  <si>
    <t>R142</t>
  </si>
  <si>
    <t>23-05-2025</t>
  </si>
  <si>
    <t>C242</t>
  </si>
  <si>
    <t>R143</t>
  </si>
  <si>
    <t>24-05-2025</t>
  </si>
  <si>
    <t>C243</t>
  </si>
  <si>
    <t>R144</t>
  </si>
  <si>
    <t>25-05-2025</t>
  </si>
  <si>
    <t>C244</t>
  </si>
  <si>
    <t>R145</t>
  </si>
  <si>
    <t>26-05-2025</t>
  </si>
  <si>
    <t>C245</t>
  </si>
  <si>
    <t>R146</t>
  </si>
  <si>
    <t>27-05-2025</t>
  </si>
  <si>
    <t>C246</t>
  </si>
  <si>
    <t>R147</t>
  </si>
  <si>
    <t>28-05-2025</t>
  </si>
  <si>
    <t>C247</t>
  </si>
  <si>
    <t>R148</t>
  </si>
  <si>
    <t>29-05-2025</t>
  </si>
  <si>
    <t>C248</t>
  </si>
  <si>
    <t>R149</t>
  </si>
  <si>
    <t>30-05-2025</t>
  </si>
  <si>
    <t>C249</t>
  </si>
  <si>
    <t>R150</t>
  </si>
  <si>
    <t>31-05-2025</t>
  </si>
  <si>
    <t>C250</t>
  </si>
  <si>
    <t>Finf the total sales of Formal Shirt where payment mode was UPI.</t>
  </si>
  <si>
    <t>Total Sales</t>
  </si>
  <si>
    <t xml:space="preserve"> Find the number of orders placed from Kerala.</t>
  </si>
  <si>
    <t>Order counts</t>
  </si>
  <si>
    <t>Find the total quantity of Clothing orders placed from West Bengal.</t>
  </si>
  <si>
    <t>Total Quantity</t>
  </si>
  <si>
    <t xml:space="preserve"> Find the total number of females who ordered Headphones.</t>
  </si>
  <si>
    <t xml:space="preserve"> Apply VLOOKUP to display the Customer Name based on Customer ID.</t>
  </si>
  <si>
    <t xml:space="preserve"> Use VLOOKUP to find the Sales Amount of a product using the Order ID.</t>
  </si>
  <si>
    <t>Use INDEX And MATCH to find Sales Amount using Order ID.</t>
  </si>
  <si>
    <t xml:space="preserve"> Use VLOOKUP to find the Customer ID of a using the Order ID.</t>
  </si>
  <si>
    <t xml:space="preserve"> Sort the data by Sales Amount from highest to lowest.</t>
  </si>
  <si>
    <t>Steps:</t>
  </si>
  <si>
    <t>1.Select any cell in the Sales Amount column.</t>
  </si>
  <si>
    <r>
      <rPr>
        <sz val="11"/>
        <color theme="1"/>
        <rFont val="Calibri"/>
        <charset val="134"/>
        <scheme val="minor"/>
      </rPr>
      <t>2. Data</t>
    </r>
    <r>
      <rPr>
        <sz val="11"/>
        <color theme="1"/>
        <rFont val="Arial"/>
        <charset val="134"/>
      </rPr>
      <t>→</t>
    </r>
    <r>
      <rPr>
        <sz val="11"/>
        <color theme="1"/>
        <rFont val="Calibri"/>
        <charset val="134"/>
        <scheme val="minor"/>
      </rPr>
      <t>Sort.</t>
    </r>
  </si>
  <si>
    <t>3. Largest to Smallest.</t>
  </si>
  <si>
    <t xml:space="preserve"> Apply filter to show only records where Payment Mode is UPI.</t>
  </si>
  <si>
    <t xml:space="preserve"> Apply filter to show Sales greater than Rs. 10000.</t>
  </si>
  <si>
    <t>1. Make a Pivot Table of the Sales amount for the Customers whose name starts with A.</t>
  </si>
  <si>
    <t>Sum of Sales Amount</t>
  </si>
  <si>
    <t>Grand Total</t>
  </si>
  <si>
    <t>2. Make a Pivot tables of the Product Names and Unit Prices.</t>
  </si>
  <si>
    <t>Sum of Unit 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</si>
</sst>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/mmm/yyyy;@"/>
  </numFmts>
  <fonts count="25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Arial"/>
      <charset val="134"/>
    </font>
  </fonts>
  <fills count="4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-0.25"/>
        <bgColor theme="4"/>
      </patternFill>
    </fill>
    <fill>
      <patternFill patternType="solid">
        <fgColor theme="5" tint="0.6"/>
        <bgColor indexed="64"/>
      </patternFill>
    </fill>
    <fill>
      <patternFill patternType="solid">
        <fgColor theme="4" tint="-0.2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5" tint="0.8"/>
        <bgColor theme="4" tint="0.599993896298105"/>
      </patternFill>
    </fill>
    <fill>
      <patternFill patternType="solid">
        <fgColor theme="5" tint="0.4"/>
        <bgColor theme="4" tint="0.599993896298105"/>
      </patternFill>
    </fill>
    <fill>
      <patternFill patternType="solid">
        <fgColor theme="5" tint="0.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4" tint="0.399975585192419"/>
      </right>
      <top style="medium">
        <color auto="1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medium">
        <color auto="1"/>
      </top>
      <bottom style="thin">
        <color theme="4" tint="0.399975585192419"/>
      </bottom>
      <diagonal/>
    </border>
    <border>
      <left style="thin">
        <color theme="4" tint="0.399975585192419"/>
      </left>
      <right style="medium">
        <color auto="1"/>
      </right>
      <top style="medium">
        <color auto="1"/>
      </top>
      <bottom style="thin">
        <color theme="4" tint="0.399975585192419"/>
      </bottom>
      <diagonal/>
    </border>
    <border>
      <left style="medium">
        <color auto="1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 style="medium">
        <color auto="1"/>
      </right>
      <top style="thin">
        <color theme="4" tint="0.399975585192419"/>
      </top>
      <bottom style="thin">
        <color theme="4" tint="0.399975585192419"/>
      </bottom>
      <diagonal/>
    </border>
    <border>
      <left style="medium">
        <color auto="1"/>
      </left>
      <right style="thin">
        <color theme="4" tint="0.399975585192419"/>
      </right>
      <top style="thin">
        <color theme="4" tint="0.399975585192419"/>
      </top>
      <bottom style="medium">
        <color auto="1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medium">
        <color auto="1"/>
      </bottom>
      <diagonal/>
    </border>
    <border>
      <left style="thin">
        <color theme="4" tint="0.399975585192419"/>
      </left>
      <right style="medium">
        <color auto="1"/>
      </right>
      <top style="thin">
        <color theme="4" tint="0.399975585192419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4" borderId="3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4" applyNumberFormat="0" applyFill="0" applyAlignment="0" applyProtection="0">
      <alignment vertical="center"/>
    </xf>
    <xf numFmtId="0" fontId="11" fillId="0" borderId="34" applyNumberFormat="0" applyFill="0" applyAlignment="0" applyProtection="0">
      <alignment vertical="center"/>
    </xf>
    <xf numFmtId="0" fontId="12" fillId="0" borderId="3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5" borderId="36" applyNumberFormat="0" applyAlignment="0" applyProtection="0">
      <alignment vertical="center"/>
    </xf>
    <xf numFmtId="0" fontId="14" fillId="16" borderId="37" applyNumberFormat="0" applyAlignment="0" applyProtection="0">
      <alignment vertical="center"/>
    </xf>
    <xf numFmtId="0" fontId="15" fillId="16" borderId="36" applyNumberFormat="0" applyAlignment="0" applyProtection="0">
      <alignment vertical="center"/>
    </xf>
    <xf numFmtId="0" fontId="16" fillId="17" borderId="38" applyNumberFormat="0" applyAlignment="0" applyProtection="0">
      <alignment vertical="center"/>
    </xf>
    <xf numFmtId="0" fontId="17" fillId="0" borderId="39" applyNumberFormat="0" applyFill="0" applyAlignment="0" applyProtection="0">
      <alignment vertical="center"/>
    </xf>
    <xf numFmtId="0" fontId="18" fillId="0" borderId="40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</cellStyleXfs>
  <cellXfs count="7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3" borderId="2" xfId="0" applyFill="1" applyBorder="1"/>
    <xf numFmtId="0" fontId="0" fillId="3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3" borderId="6" xfId="0" applyFill="1" applyBorder="1"/>
    <xf numFmtId="0" fontId="0" fillId="3" borderId="7" xfId="0" applyFill="1" applyBorder="1"/>
    <xf numFmtId="0" fontId="1" fillId="2" borderId="8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0" fillId="4" borderId="6" xfId="0" applyFill="1" applyBorder="1"/>
    <xf numFmtId="0" fontId="0" fillId="4" borderId="7" xfId="0" applyFill="1" applyBorder="1"/>
    <xf numFmtId="180" fontId="0" fillId="0" borderId="0" xfId="0" applyNumberFormat="1"/>
    <xf numFmtId="0" fontId="0" fillId="0" borderId="14" xfId="0" applyBorder="1"/>
    <xf numFmtId="180" fontId="0" fillId="0" borderId="15" xfId="0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0" fillId="0" borderId="0" xfId="0" applyFill="1" applyBorder="1"/>
    <xf numFmtId="0" fontId="3" fillId="5" borderId="8" xfId="0" applyFont="1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9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5" borderId="20" xfId="0" applyFill="1" applyBorder="1" applyAlignment="1">
      <alignment horizontal="left" vertical="top" wrapText="1"/>
    </xf>
    <xf numFmtId="0" fontId="0" fillId="5" borderId="19" xfId="0" applyFont="1" applyFill="1" applyBorder="1" applyAlignment="1">
      <alignment vertical="top" wrapText="1"/>
    </xf>
    <xf numFmtId="0" fontId="0" fillId="5" borderId="0" xfId="0" applyFill="1" applyAlignment="1">
      <alignment vertical="top" wrapText="1"/>
    </xf>
    <xf numFmtId="0" fontId="0" fillId="5" borderId="20" xfId="0" applyFill="1" applyBorder="1" applyAlignment="1">
      <alignment vertical="top" wrapText="1"/>
    </xf>
    <xf numFmtId="0" fontId="0" fillId="5" borderId="11" xfId="0" applyFill="1" applyBorder="1" applyAlignment="1">
      <alignment horizontal="left" vertical="top"/>
    </xf>
    <xf numFmtId="0" fontId="0" fillId="5" borderId="12" xfId="0" applyFill="1" applyBorder="1" applyAlignment="1">
      <alignment horizontal="left" vertical="top"/>
    </xf>
    <xf numFmtId="0" fontId="0" fillId="5" borderId="13" xfId="0" applyFill="1" applyBorder="1" applyAlignment="1">
      <alignment vertical="top" wrapText="1"/>
    </xf>
    <xf numFmtId="0" fontId="0" fillId="0" borderId="0" xfId="0" applyFill="1" applyAlignment="1">
      <alignment vertical="top" wrapText="1"/>
    </xf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wrapText="1"/>
    </xf>
    <xf numFmtId="0" fontId="2" fillId="6" borderId="1" xfId="0" applyFont="1" applyFill="1" applyBorder="1"/>
    <xf numFmtId="180" fontId="2" fillId="6" borderId="1" xfId="0" applyNumberFormat="1" applyFont="1" applyFill="1" applyBorder="1"/>
    <xf numFmtId="0" fontId="0" fillId="7" borderId="1" xfId="0" applyFill="1" applyBorder="1"/>
    <xf numFmtId="0" fontId="0" fillId="0" borderId="21" xfId="0" applyBorder="1"/>
    <xf numFmtId="180" fontId="0" fillId="0" borderId="22" xfId="0" applyNumberFormat="1" applyBorder="1"/>
    <xf numFmtId="0" fontId="0" fillId="0" borderId="22" xfId="0" applyBorder="1"/>
    <xf numFmtId="0" fontId="0" fillId="0" borderId="23" xfId="0" applyBorder="1"/>
    <xf numFmtId="0" fontId="0" fillId="8" borderId="24" xfId="0" applyFont="1" applyFill="1" applyBorder="1"/>
    <xf numFmtId="0" fontId="0" fillId="8" borderId="25" xfId="0" applyFont="1" applyFill="1" applyBorder="1"/>
    <xf numFmtId="0" fontId="0" fillId="8" borderId="26" xfId="0" applyFont="1" applyFill="1" applyBorder="1"/>
    <xf numFmtId="0" fontId="0" fillId="9" borderId="27" xfId="0" applyFont="1" applyFill="1" applyBorder="1"/>
    <xf numFmtId="0" fontId="0" fillId="9" borderId="28" xfId="0" applyFont="1" applyFill="1" applyBorder="1"/>
    <xf numFmtId="0" fontId="0" fillId="9" borderId="29" xfId="0" applyFont="1" applyFill="1" applyBorder="1"/>
    <xf numFmtId="0" fontId="0" fillId="10" borderId="27" xfId="0" applyFont="1" applyFill="1" applyBorder="1"/>
    <xf numFmtId="0" fontId="0" fillId="10" borderId="28" xfId="0" applyFont="1" applyFill="1" applyBorder="1"/>
    <xf numFmtId="0" fontId="0" fillId="10" borderId="29" xfId="0" applyFont="1" applyFill="1" applyBorder="1"/>
    <xf numFmtId="0" fontId="4" fillId="3" borderId="1" xfId="0" applyFont="1" applyFill="1" applyBorder="1"/>
    <xf numFmtId="0" fontId="0" fillId="11" borderId="1" xfId="0" applyFont="1" applyFill="1" applyBorder="1"/>
    <xf numFmtId="0" fontId="0" fillId="4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4" fillId="12" borderId="1" xfId="0" applyFont="1" applyFill="1" applyBorder="1"/>
    <xf numFmtId="0" fontId="4" fillId="13" borderId="1" xfId="0" applyFont="1" applyFill="1" applyBorder="1"/>
    <xf numFmtId="0" fontId="0" fillId="10" borderId="30" xfId="0" applyFont="1" applyFill="1" applyBorder="1"/>
    <xf numFmtId="0" fontId="0" fillId="10" borderId="31" xfId="0" applyFont="1" applyFill="1" applyBorder="1"/>
    <xf numFmtId="0" fontId="0" fillId="10" borderId="32" xfId="0" applyFont="1" applyFill="1" applyBorder="1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7">
    <dxf>
      <border>
        <left/>
      </border>
    </dxf>
    <dxf>
      <border>
        <left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ill>
        <patternFill patternType="solid">
          <bgColor theme="5" tint="0.4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theme="5" tint="0.8"/>
        </patternFill>
      </fill>
    </dxf>
    <dxf>
      <fill>
        <patternFill patternType="solid">
          <bgColor theme="5" tint="0.8"/>
        </patternFill>
      </fill>
    </dxf>
    <dxf>
      <fill>
        <patternFill patternType="solid">
          <bgColor theme="5" tint="0.8"/>
        </patternFill>
      </fill>
    </dxf>
    <dxf>
      <fill>
        <patternFill patternType="solid">
          <bgColor theme="5" tint="0.8"/>
        </patternFill>
      </fill>
    </dxf>
    <dxf>
      <fill>
        <patternFill patternType="solid">
          <bgColor theme="5" tint="0.8"/>
        </patternFill>
      </fill>
    </dxf>
    <dxf>
      <fill>
        <patternFill patternType="solid">
          <bgColor theme="5" tint="0.8"/>
        </patternFill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ill>
        <patternFill patternType="solid">
          <bgColor theme="5" tint="0.4"/>
        </patternFill>
      </fill>
    </dxf>
    <dxf>
      <fill>
        <patternFill patternType="solid">
          <bgColor theme="5" tint="0.8"/>
        </patternFill>
      </fill>
    </dxf>
    <dxf>
      <fill>
        <patternFill patternType="solid">
          <bgColor theme="5" tint="0.8"/>
        </patternFill>
      </fill>
    </dxf>
    <dxf>
      <fill>
        <patternFill patternType="solid">
          <bgColor theme="5" tint="0.8"/>
        </patternFill>
      </fill>
    </dxf>
    <dxf>
      <fill>
        <patternFill patternType="solid">
          <bgColor theme="5" tint="0.8"/>
        </patternFill>
      </fill>
    </dxf>
    <dxf>
      <fill>
        <patternFill patternType="solid">
          <bgColor theme="5" tint="0.8"/>
        </patternFill>
      </fill>
    </dxf>
    <dxf>
      <fill>
        <patternFill patternType="solid">
          <bgColor theme="5" tint="0.8"/>
        </patternFill>
      </fill>
    </dxf>
    <dxf>
      <fill>
        <patternFill patternType="solid">
          <bgColor theme="5" tint="0.8"/>
        </patternFill>
      </fill>
    </dxf>
    <dxf>
      <fill>
        <patternFill patternType="solid">
          <bgColor theme="5" tint="0.8"/>
        </patternFill>
      </fill>
    </dxf>
    <dxf>
      <fill>
        <patternFill patternType="solid">
          <bgColor theme="5" tint="0.8"/>
        </patternFill>
      </fill>
    </dxf>
    <dxf>
      <fill>
        <patternFill patternType="solid">
          <bgColor theme="5" tint="0.8"/>
        </patternFill>
      </fill>
    </dxf>
    <dxf>
      <fill>
        <patternFill patternType="solid">
          <bgColor theme="5" tint="0.8"/>
        </patternFill>
      </fill>
    </dxf>
    <dxf>
      <fill>
        <patternFill patternType="solid">
          <bgColor theme="5" tint="0.8"/>
        </patternFill>
      </fill>
    </dxf>
    <dxf>
      <fill>
        <patternFill patternType="solid">
          <bgColor theme="5" tint="0.8"/>
        </patternFill>
      </fill>
    </dxf>
    <dxf>
      <fill>
        <patternFill patternType="solid">
          <bgColor theme="5" tint="0.8"/>
        </patternFill>
      </fill>
    </dxf>
    <dxf>
      <fill>
        <patternFill patternType="solid">
          <bgColor theme="5" tint="0.8"/>
        </patternFill>
      </fill>
    </dxf>
    <dxf>
      <fill>
        <patternFill patternType="solid">
          <bgColor theme="5" tint="0.8"/>
        </patternFill>
      </fill>
    </dxf>
    <dxf>
      <fill>
        <patternFill patternType="solid">
          <bgColor theme="5" tint="0.8"/>
        </patternFill>
      </fill>
    </dxf>
    <dxf>
      <fill>
        <patternFill patternType="solid">
          <bgColor theme="5" tint="0.8"/>
        </patternFill>
      </fill>
    </dxf>
    <dxf>
      <fill>
        <patternFill patternType="solid">
          <bgColor theme="5" tint="0.8"/>
        </patternFill>
      </fill>
    </dxf>
    <dxf>
      <fill>
        <patternFill patternType="solid">
          <bgColor theme="5" tint="0.8"/>
        </patternFill>
      </fill>
    </dxf>
    <dxf>
      <numFmt numFmtId="180" formatCode="[$-409]d/mmm/yyyy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[Project-2.xlsx]Pivot Table!PivotTable4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6"/>
                </a:gs>
                <a:gs pos="0">
                  <a:schemeClr val="accent6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6">
                      <a:lumMod val="75000"/>
                    </a:schemeClr>
                  </a:gs>
                  <a:gs pos="0">
                    <a:schemeClr val="accent6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Table'!$A$7:$A$10</c:f>
              <c:strCache>
                <c:ptCount val="3"/>
                <c:pt idx="0">
                  <c:v>Amit</c:v>
                </c:pt>
                <c:pt idx="1">
                  <c:v>Anita</c:v>
                </c:pt>
                <c:pt idx="2">
                  <c:v>Arjun</c:v>
                </c:pt>
              </c:strCache>
            </c:strRef>
          </c:cat>
          <c:val>
            <c:numRef>
              <c:f>'Pivot Table'!$B$7:$B$10</c:f>
              <c:numCache>
                <c:formatCode>General</c:formatCode>
                <c:ptCount val="3"/>
                <c:pt idx="0">
                  <c:v>83445</c:v>
                </c:pt>
                <c:pt idx="1">
                  <c:v>92995.5</c:v>
                </c:pt>
                <c:pt idx="2">
                  <c:v>118415.75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601702532"/>
        <c:axId val="978106704"/>
      </c:barChart>
      <c:catAx>
        <c:axId val="601702532"/>
        <c:scaling>
          <c:orientation val="maxMin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8106704"/>
        <c:crosses val="autoZero"/>
        <c:auto val="1"/>
        <c:lblAlgn val="ctr"/>
        <c:lblOffset val="100"/>
        <c:noMultiLvlLbl val="0"/>
      </c:catAx>
      <c:valAx>
        <c:axId val="978106704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17025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21b108a-071d-4787-8d0f-f0448e567f5c}"/>
      </c:ext>
    </c:extLst>
  </c:chart>
  <c:spPr>
    <a:gradFill flip="none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8900000">
        <a:prstClr val="black">
          <a:alpha val="50000"/>
        </a:prstClr>
      </a:inn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[Project-2.xlsx]Pivot Table!PivotTable5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Table'!$B$19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54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Table'!$A$20:$A$38</c:f>
              <c:strCache>
                <c:ptCount val="18"/>
                <c:pt idx="0">
                  <c:v>Bluetooth Speaker</c:v>
                </c:pt>
                <c:pt idx="1">
                  <c:v>Bookshelf</c:v>
                </c:pt>
                <c:pt idx="2">
                  <c:v>Cooking Oil</c:v>
                </c:pt>
                <c:pt idx="3">
                  <c:v>Formal Shirt</c:v>
                </c:pt>
                <c:pt idx="4">
                  <c:v>Headphones</c:v>
                </c:pt>
                <c:pt idx="5">
                  <c:v>Jacket</c:v>
                </c:pt>
                <c:pt idx="6">
                  <c:v>Jeans</c:v>
                </c:pt>
                <c:pt idx="7">
                  <c:v>Kurti</c:v>
                </c:pt>
                <c:pt idx="8">
                  <c:v>Office Chair</c:v>
                </c:pt>
                <c:pt idx="9">
                  <c:v>Power Bank</c:v>
                </c:pt>
                <c:pt idx="10">
                  <c:v>Rice Bag</c:v>
                </c:pt>
                <c:pt idx="11">
                  <c:v>Router</c:v>
                </c:pt>
                <c:pt idx="12">
                  <c:v>Side Table</c:v>
                </c:pt>
                <c:pt idx="13">
                  <c:v>Smart Watch</c:v>
                </c:pt>
                <c:pt idx="14">
                  <c:v>Study Table</c:v>
                </c:pt>
                <c:pt idx="15">
                  <c:v>Sugar</c:v>
                </c:pt>
                <c:pt idx="16">
                  <c:v>T-Shirt</c:v>
                </c:pt>
                <c:pt idx="17">
                  <c:v>Wheat Flour</c:v>
                </c:pt>
              </c:strCache>
            </c:strRef>
          </c:cat>
          <c:val>
            <c:numRef>
              <c:f>'Pivot Table'!$B$20:$B$38</c:f>
              <c:numCache>
                <c:formatCode>General</c:formatCode>
                <c:ptCount val="18"/>
                <c:pt idx="0">
                  <c:v>43550</c:v>
                </c:pt>
                <c:pt idx="1">
                  <c:v>31071</c:v>
                </c:pt>
                <c:pt idx="2">
                  <c:v>35191</c:v>
                </c:pt>
                <c:pt idx="3">
                  <c:v>31985</c:v>
                </c:pt>
                <c:pt idx="4">
                  <c:v>43866</c:v>
                </c:pt>
                <c:pt idx="5">
                  <c:v>33736</c:v>
                </c:pt>
                <c:pt idx="6">
                  <c:v>38785</c:v>
                </c:pt>
                <c:pt idx="7">
                  <c:v>28084</c:v>
                </c:pt>
                <c:pt idx="8">
                  <c:v>41972</c:v>
                </c:pt>
                <c:pt idx="9">
                  <c:v>15752</c:v>
                </c:pt>
                <c:pt idx="10">
                  <c:v>30570</c:v>
                </c:pt>
                <c:pt idx="11">
                  <c:v>25016</c:v>
                </c:pt>
                <c:pt idx="12">
                  <c:v>31087</c:v>
                </c:pt>
                <c:pt idx="13">
                  <c:v>42714</c:v>
                </c:pt>
                <c:pt idx="14">
                  <c:v>38544</c:v>
                </c:pt>
                <c:pt idx="15">
                  <c:v>46187</c:v>
                </c:pt>
                <c:pt idx="16">
                  <c:v>22334</c:v>
                </c:pt>
                <c:pt idx="17">
                  <c:v>39399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26837722"/>
        <c:axId val="979965403"/>
      </c:barChart>
      <c:catAx>
        <c:axId val="52683772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9965403"/>
        <c:crosses val="autoZero"/>
        <c:auto val="1"/>
        <c:lblAlgn val="ctr"/>
        <c:lblOffset val="100"/>
        <c:noMultiLvlLbl val="0"/>
      </c:catAx>
      <c:valAx>
        <c:axId val="9799654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68377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c2ab981-bcdb-471c-92d6-2ab798ba5251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8900000">
        <a:prstClr val="black">
          <a:alpha val="50000"/>
        </a:prstClr>
      </a:inn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526415</xdr:colOff>
      <xdr:row>3</xdr:row>
      <xdr:rowOff>88265</xdr:rowOff>
    </xdr:from>
    <xdr:to>
      <xdr:col>5</xdr:col>
      <xdr:colOff>1238885</xdr:colOff>
      <xdr:row>11</xdr:row>
      <xdr:rowOff>128270</xdr:rowOff>
    </xdr:to>
    <xdr:graphicFrame>
      <xdr:nvGraphicFramePr>
        <xdr:cNvPr id="2" name="Chart 1"/>
        <xdr:cNvGraphicFramePr/>
      </xdr:nvGraphicFramePr>
      <xdr:xfrm>
        <a:off x="3841115" y="659765"/>
        <a:ext cx="3388995" cy="1583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136525</xdr:colOff>
      <xdr:row>19</xdr:row>
      <xdr:rowOff>73025</xdr:rowOff>
    </xdr:from>
    <xdr:to>
      <xdr:col>7</xdr:col>
      <xdr:colOff>238125</xdr:colOff>
      <xdr:row>33</xdr:row>
      <xdr:rowOff>149225</xdr:rowOff>
    </xdr:to>
    <xdr:graphicFrame>
      <xdr:nvGraphicFramePr>
        <xdr:cNvPr id="3" name="Chart 2"/>
        <xdr:cNvGraphicFramePr/>
      </xdr:nvGraphicFramePr>
      <xdr:xfrm>
        <a:off x="3451225" y="3721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59.8937037037" refreshedBy="Ananya" recordCount="151">
  <cacheSource type="worksheet">
    <worksheetSource ref="A1:O1048576" sheet="Retail_Sales_Data"/>
  </cacheSource>
  <cacheFields count="15">
    <cacheField name="Order_ID" numFmtId="0">
      <sharedItems containsBlank="1" count="151">
        <s v="R001"/>
        <s v="R002"/>
        <s v="R003"/>
        <s v="R004"/>
        <s v="R005"/>
        <s v="R006"/>
        <s v="R007"/>
        <s v="R008"/>
        <s v="R009"/>
        <s v="R010"/>
        <s v="R011"/>
        <s v="R012"/>
        <s v="R013"/>
        <s v="R014"/>
        <s v="R015"/>
        <s v="R016"/>
        <s v="R017"/>
        <s v="R018"/>
        <s v="R019"/>
        <s v="R020"/>
        <s v="R021"/>
        <s v="R022"/>
        <s v="R023"/>
        <s v="R024"/>
        <s v="R025"/>
        <s v="R026"/>
        <s v="R027"/>
        <s v="R028"/>
        <s v="R029"/>
        <s v="R030"/>
        <s v="R031"/>
        <s v="R032"/>
        <s v="R033"/>
        <s v="R034"/>
        <s v="R035"/>
        <s v="R036"/>
        <s v="R037"/>
        <s v="R038"/>
        <s v="R039"/>
        <s v="R040"/>
        <s v="R041"/>
        <s v="R042"/>
        <s v="R043"/>
        <s v="R044"/>
        <s v="R045"/>
        <s v="R046"/>
        <s v="R047"/>
        <s v="R048"/>
        <s v="R049"/>
        <s v="R050"/>
        <s v="R051"/>
        <s v="R052"/>
        <s v="R053"/>
        <s v="R054"/>
        <s v="R055"/>
        <s v="R056"/>
        <s v="R057"/>
        <s v="R058"/>
        <s v="R059"/>
        <s v="R060"/>
        <s v="R061"/>
        <s v="R062"/>
        <s v="R063"/>
        <s v="R064"/>
        <s v="R065"/>
        <s v="R066"/>
        <s v="R067"/>
        <s v="R068"/>
        <s v="R069"/>
        <s v="R070"/>
        <s v="R071"/>
        <s v="R072"/>
        <s v="R073"/>
        <s v="R074"/>
        <s v="R075"/>
        <s v="R076"/>
        <s v="R077"/>
        <s v="R078"/>
        <s v="R079"/>
        <s v="R080"/>
        <s v="R081"/>
        <s v="R082"/>
        <s v="R083"/>
        <s v="R084"/>
        <s v="R085"/>
        <s v="R086"/>
        <s v="R087"/>
        <s v="R088"/>
        <s v="R089"/>
        <s v="R090"/>
        <s v="R091"/>
        <s v="R092"/>
        <s v="R093"/>
        <s v="R094"/>
        <s v="R095"/>
        <s v="R096"/>
        <s v="R097"/>
        <s v="R098"/>
        <s v="R099"/>
        <s v="R100"/>
        <s v="R101"/>
        <s v="R102"/>
        <s v="R103"/>
        <s v="R104"/>
        <s v="R105"/>
        <s v="R106"/>
        <s v="R107"/>
        <s v="R108"/>
        <s v="R109"/>
        <s v="R110"/>
        <s v="R111"/>
        <s v="R112"/>
        <s v="R113"/>
        <s v="R114"/>
        <s v="R115"/>
        <s v="R116"/>
        <s v="R117"/>
        <s v="R118"/>
        <s v="R119"/>
        <s v="R120"/>
        <s v="R121"/>
        <s v="R122"/>
        <s v="R123"/>
        <s v="R124"/>
        <s v="R125"/>
        <s v="R126"/>
        <s v="R127"/>
        <s v="R128"/>
        <s v="R129"/>
        <s v="R130"/>
        <s v="R131"/>
        <s v="R132"/>
        <s v="R133"/>
        <s v="R134"/>
        <s v="R135"/>
        <s v="R136"/>
        <s v="R137"/>
        <s v="R138"/>
        <s v="R139"/>
        <s v="R140"/>
        <s v="R141"/>
        <s v="R142"/>
        <s v="R143"/>
        <s v="R144"/>
        <s v="R145"/>
        <s v="R146"/>
        <s v="R147"/>
        <s v="R148"/>
        <s v="R149"/>
        <s v="R150"/>
        <m/>
      </sharedItems>
    </cacheField>
    <cacheField name="Order Date" numFmtId="0">
      <sharedItems containsBlank="1" count="151">
        <s v="02-01-2025"/>
        <s v="03-01-2025"/>
        <s v="04-01-2025"/>
        <s v="05-01-2025"/>
        <s v="06-01-2025"/>
        <s v="07-01-2025"/>
        <s v="08-01-2025"/>
        <s v="09-01-2025"/>
        <s v="10-01-2025"/>
        <s v="11-01-2025"/>
        <s v="12-01-2025"/>
        <s v="13-01-2025"/>
        <s v="14-01-2025"/>
        <s v="15-01-2025"/>
        <s v="16-01-2025"/>
        <s v="17-01-2025"/>
        <s v="18-01-2025"/>
        <s v="19-01-2025"/>
        <s v="20-01-2025"/>
        <s v="21-01-2025"/>
        <s v="22-01-2025"/>
        <s v="23-01-2025"/>
        <s v="24-01-2025"/>
        <s v="25-01-2025"/>
        <s v="26-01-2025"/>
        <s v="27-01-2025"/>
        <s v="28-01-2025"/>
        <s v="29-01-2025"/>
        <s v="30-01-2025"/>
        <s v="31-01-2025"/>
        <s v="01-02-2025"/>
        <s v="02-02-2025"/>
        <s v="03-02-2025"/>
        <s v="04-02-2025"/>
        <s v="05-02-2025"/>
        <s v="06-02-2025"/>
        <s v="07-02-2025"/>
        <s v="08-02-2025"/>
        <s v="09-02-2025"/>
        <s v="10-02-2025"/>
        <s v="11-02-2025"/>
        <s v="12-02-2025"/>
        <s v="13-02-2025"/>
        <s v="14-02-2025"/>
        <s v="15-02-2025"/>
        <s v="16-02-2025"/>
        <s v="17-02-2025"/>
        <s v="18-02-2025"/>
        <s v="19-02-2025"/>
        <s v="20-02-2025"/>
        <s v="21-02-2025"/>
        <s v="22-02-2025"/>
        <s v="23-02-2025"/>
        <s v="24-02-2025"/>
        <s v="25-02-2025"/>
        <s v="26-02-2025"/>
        <s v="27-02-2025"/>
        <s v="28-02-2025"/>
        <s v="01-03-2025"/>
        <s v="02-03-2025"/>
        <s v="03-03-2025"/>
        <s v="04-03-2025"/>
        <s v="05-03-2025"/>
        <s v="06-03-2025"/>
        <s v="07-03-2025"/>
        <s v="08-03-2025"/>
        <s v="09-03-2025"/>
        <s v="10-03-2025"/>
        <s v="11-03-2025"/>
        <s v="12-03-2025"/>
        <s v="13-03-2025"/>
        <s v="14-03-2025"/>
        <s v="15-03-2025"/>
        <s v="16-03-2025"/>
        <s v="17-03-2025"/>
        <s v="18-03-2025"/>
        <s v="19-03-2025"/>
        <s v="20-03-2025"/>
        <s v="21-03-2025"/>
        <s v="22-03-2025"/>
        <s v="23-03-2025"/>
        <s v="24-03-2025"/>
        <s v="25-03-2025"/>
        <s v="26-03-2025"/>
        <s v="27-03-2025"/>
        <s v="28-03-2025"/>
        <s v="29-03-2025"/>
        <s v="30-03-2025"/>
        <s v="31-03-2025"/>
        <s v="01-04-2025"/>
        <s v="02-04-2025"/>
        <s v="03-04-2025"/>
        <s v="04-04-2025"/>
        <s v="05-04-2025"/>
        <s v="06-04-2025"/>
        <s v="07-04-2025"/>
        <s v="08-04-2025"/>
        <s v="09-04-2025"/>
        <s v="10-04-2025"/>
        <s v="11-04-2025"/>
        <s v="12-04-2025"/>
        <s v="13-04-2025"/>
        <s v="14-04-2025"/>
        <s v="15-04-2025"/>
        <s v="16-04-2025"/>
        <s v="17-04-2025"/>
        <s v="18-04-2025"/>
        <s v="19-04-2025"/>
        <s v="20-04-2025"/>
        <s v="21-04-2025"/>
        <s v="22-04-2025"/>
        <s v="23-04-2025"/>
        <s v="24-04-2025"/>
        <s v="25-04-2025"/>
        <s v="26-04-2025"/>
        <s v="27-04-2025"/>
        <s v="28-04-2025"/>
        <s v="29-04-2025"/>
        <s v="30-04-2025"/>
        <s v="01-05-2025"/>
        <s v="02-05-2025"/>
        <s v="03-05-2025"/>
        <s v="04-05-2025"/>
        <s v="05-05-2025"/>
        <s v="06-05-2025"/>
        <s v="07-05-2025"/>
        <s v="08-05-2025"/>
        <s v="09-05-2025"/>
        <s v="10-05-2025"/>
        <s v="11-05-2025"/>
        <s v="12-05-2025"/>
        <s v="13-05-2025"/>
        <s v="14-05-2025"/>
        <s v="15-05-2025"/>
        <s v="16-05-2025"/>
        <s v="17-05-2025"/>
        <s v="18-05-2025"/>
        <s v="19-05-2025"/>
        <s v="20-05-2025"/>
        <s v="21-05-2025"/>
        <s v="22-05-2025"/>
        <s v="23-05-2025"/>
        <s v="24-05-2025"/>
        <s v="25-05-2025"/>
        <s v="26-05-2025"/>
        <s v="27-05-2025"/>
        <s v="28-05-2025"/>
        <s v="29-05-2025"/>
        <s v="30-05-2025"/>
        <s v="31-05-2025"/>
        <m/>
      </sharedItems>
    </cacheField>
    <cacheField name="Customer ID" numFmtId="0">
      <sharedItems containsBlank="1" count="151">
        <s v="C101"/>
        <s v="C102"/>
        <s v="C103"/>
        <s v="C104"/>
        <s v="C105"/>
        <s v="C106"/>
        <s v="C107"/>
        <s v="C108"/>
        <s v="C109"/>
        <s v="C110"/>
        <s v="C111"/>
        <s v="C112"/>
        <s v="C113"/>
        <s v="C114"/>
        <s v="C115"/>
        <s v="C116"/>
        <s v="C117"/>
        <s v="C118"/>
        <s v="C119"/>
        <s v="C120"/>
        <s v="C121"/>
        <s v="C122"/>
        <s v="C123"/>
        <s v="C124"/>
        <s v="C125"/>
        <s v="C126"/>
        <s v="C127"/>
        <s v="C128"/>
        <s v="C129"/>
        <s v="C130"/>
        <s v="C131"/>
        <s v="C132"/>
        <s v="C133"/>
        <s v="C134"/>
        <s v="C135"/>
        <s v="C136"/>
        <s v="C137"/>
        <s v="C138"/>
        <s v="C139"/>
        <s v="C140"/>
        <s v="C141"/>
        <s v="C142"/>
        <s v="C143"/>
        <s v="C144"/>
        <s v="C145"/>
        <s v="C146"/>
        <s v="C147"/>
        <s v="C148"/>
        <s v="C149"/>
        <s v="C150"/>
        <s v="C151"/>
        <s v="C152"/>
        <s v="C153"/>
        <s v="C154"/>
        <s v="C155"/>
        <s v="C156"/>
        <s v="C157"/>
        <s v="C158"/>
        <s v="C159"/>
        <s v="C160"/>
        <s v="C161"/>
        <s v="C162"/>
        <s v="C163"/>
        <s v="C164"/>
        <s v="C165"/>
        <s v="C166"/>
        <s v="C167"/>
        <s v="C168"/>
        <s v="C169"/>
        <s v="C170"/>
        <s v="C171"/>
        <s v="C172"/>
        <s v="C173"/>
        <s v="C174"/>
        <s v="C175"/>
        <s v="C176"/>
        <s v="C177"/>
        <s v="C178"/>
        <s v="C179"/>
        <s v="C180"/>
        <s v="C181"/>
        <s v="C182"/>
        <s v="C183"/>
        <s v="C184"/>
        <s v="C185"/>
        <s v="C186"/>
        <s v="C187"/>
        <s v="C188"/>
        <s v="C189"/>
        <s v="C190"/>
        <s v="C191"/>
        <s v="C192"/>
        <s v="C193"/>
        <s v="C194"/>
        <s v="C195"/>
        <s v="C196"/>
        <s v="C197"/>
        <s v="C198"/>
        <s v="C199"/>
        <s v="C200"/>
        <s v="C201"/>
        <s v="C202"/>
        <s v="C203"/>
        <s v="C204"/>
        <s v="C205"/>
        <s v="C206"/>
        <s v="C207"/>
        <s v="C208"/>
        <s v="C209"/>
        <s v="C210"/>
        <s v="C211"/>
        <s v="C212"/>
        <s v="C213"/>
        <s v="C214"/>
        <s v="C215"/>
        <s v="C216"/>
        <s v="C217"/>
        <s v="C218"/>
        <s v="C219"/>
        <s v="C220"/>
        <s v="C221"/>
        <s v="C222"/>
        <s v="C223"/>
        <s v="C224"/>
        <s v="C225"/>
        <s v="C226"/>
        <s v="C227"/>
        <s v="C228"/>
        <s v="C229"/>
        <s v="C230"/>
        <s v="C231"/>
        <s v="C232"/>
        <s v="C233"/>
        <s v="C234"/>
        <s v="C235"/>
        <s v="C236"/>
        <s v="C237"/>
        <s v="C238"/>
        <s v="C239"/>
        <s v="C240"/>
        <s v="C241"/>
        <s v="C242"/>
        <s v="C243"/>
        <s v="C244"/>
        <s v="C245"/>
        <s v="C246"/>
        <s v="C247"/>
        <s v="C248"/>
        <s v="C249"/>
        <s v="C250"/>
        <m/>
      </sharedItems>
    </cacheField>
    <cacheField name="Customer Name" numFmtId="0">
      <sharedItems containsBlank="1" count="21">
        <s v="Arjun"/>
        <s v="Rakesh"/>
        <s v="Anita"/>
        <s v="Suman"/>
        <s v="Ritu"/>
        <s v="Pooja"/>
        <s v="Manoj"/>
        <s v="Rohit"/>
        <s v="Priya"/>
        <s v="Meena"/>
        <s v="Deepak"/>
        <s v="Swati"/>
        <s v="Kajal"/>
        <s v="Rahul"/>
        <s v="Neha"/>
        <s v="Vikram"/>
        <s v="Amit"/>
        <s v="Sonali"/>
        <s v="Nisha"/>
        <s v="Sachin"/>
        <m/>
      </sharedItems>
    </cacheField>
    <cacheField name="Gender" numFmtId="0">
      <sharedItems containsBlank="1" count="3">
        <s v="M"/>
        <s v="F"/>
        <m/>
      </sharedItems>
    </cacheField>
    <cacheField name="Age" numFmtId="0">
      <sharedItems containsString="0" containsBlank="1" containsNumber="1" containsInteger="1" minValue="0" maxValue="50" count="32">
        <n v="35"/>
        <n v="23"/>
        <n v="25"/>
        <n v="20"/>
        <n v="43"/>
        <n v="31"/>
        <n v="48"/>
        <n v="37"/>
        <n v="22"/>
        <n v="44"/>
        <n v="28"/>
        <n v="38"/>
        <n v="39"/>
        <n v="24"/>
        <n v="47"/>
        <n v="29"/>
        <n v="50"/>
        <n v="36"/>
        <n v="49"/>
        <n v="32"/>
        <n v="40"/>
        <n v="26"/>
        <n v="27"/>
        <n v="46"/>
        <n v="34"/>
        <n v="33"/>
        <n v="42"/>
        <n v="30"/>
        <n v="21"/>
        <n v="41"/>
        <n v="45"/>
        <m/>
      </sharedItems>
    </cacheField>
    <cacheField name="City" numFmtId="0">
      <sharedItems containsBlank="1" count="11">
        <s v="Delhi"/>
        <s v="Mumbai"/>
        <s v="Kochi"/>
        <s v="Ahmedabad"/>
        <s v="Lucknow"/>
        <s v="Bhopal"/>
        <s v="Chandigarh"/>
        <s v="Kolkata"/>
        <s v="Patna"/>
        <s v="Jaipur"/>
        <m/>
      </sharedItems>
    </cacheField>
    <cacheField name="State" numFmtId="0">
      <sharedItems containsBlank="1" count="11">
        <s v="Delhi"/>
        <s v="Maharashtra"/>
        <s v="Kerala"/>
        <s v="Gujarat"/>
        <s v="Uttar Pradesh"/>
        <s v="Madhya Pradesh"/>
        <s v="Chandigarh"/>
        <s v="West Bengal"/>
        <s v="Bihar"/>
        <s v="Rajasthan"/>
        <m/>
      </sharedItems>
    </cacheField>
    <cacheField name="Product Category" numFmtId="0">
      <sharedItems containsBlank="1" count="5">
        <s v="Furniture"/>
        <s v="Clothing"/>
        <s v="Groceries"/>
        <s v="Electronics"/>
        <m/>
      </sharedItems>
    </cacheField>
    <cacheField name="Product Name" numFmtId="0">
      <sharedItems containsBlank="1" count="19">
        <s v="Office Chair"/>
        <s v="T-Shirt"/>
        <s v="Formal Shirt"/>
        <s v="Jacket"/>
        <s v="Rice Bag"/>
        <s v="Wheat Flour"/>
        <s v="Jeans"/>
        <s v="Power Bank"/>
        <s v="Smart Watch"/>
        <s v="Kurti"/>
        <s v="Cooking Oil"/>
        <s v="Router"/>
        <s v="Study Table"/>
        <s v="Headphones"/>
        <s v="Bluetooth Speaker"/>
        <s v="Sugar"/>
        <s v="Side Table"/>
        <s v="Bookshelf"/>
        <m/>
      </sharedItems>
    </cacheField>
    <cacheField name="Quantity" numFmtId="0">
      <sharedItems containsString="0" containsBlank="1" containsNumber="1" containsInteger="1" minValue="0" maxValue="5" count="6">
        <n v="1"/>
        <n v="3"/>
        <n v="4"/>
        <n v="2"/>
        <n v="5"/>
        <m/>
      </sharedItems>
    </cacheField>
    <cacheField name="Unit Price" numFmtId="0">
      <sharedItems containsString="0" containsBlank="1" containsNumber="1" containsInteger="1" minValue="0" maxValue="7873" count="149">
        <n v="1760"/>
        <n v="3380"/>
        <n v="5589"/>
        <n v="4631"/>
        <n v="1498"/>
        <n v="2058"/>
        <n v="3392"/>
        <n v="3267"/>
        <n v="4493"/>
        <n v="4100"/>
        <n v="5984"/>
        <n v="7377"/>
        <n v="6272"/>
        <n v="6200"/>
        <n v="5435"/>
        <n v="933"/>
        <n v="1479"/>
        <n v="3426"/>
        <n v="3343"/>
        <n v="7309"/>
        <n v="2286"/>
        <n v="5782"/>
        <n v="2435"/>
        <n v="7432"/>
        <n v="3068"/>
        <n v="5800"/>
        <n v="1232"/>
        <n v="5106"/>
        <n v="4246"/>
        <n v="2000"/>
        <n v="254"/>
        <n v="6436"/>
        <n v="6440"/>
        <n v="329"/>
        <n v="3615"/>
        <n v="2853"/>
        <n v="5019"/>
        <n v="2835"/>
        <n v="7527"/>
        <n v="4784"/>
        <n v="6474"/>
        <n v="3694"/>
        <n v="2881"/>
        <n v="7464"/>
        <n v="7619"/>
        <n v="1087"/>
        <n v="6578"/>
        <n v="1977"/>
        <n v="2464"/>
        <n v="456"/>
        <n v="3284"/>
        <n v="6912"/>
        <n v="7586"/>
        <n v="1617"/>
        <n v="7192"/>
        <n v="2928"/>
        <n v="1292"/>
        <n v="2583"/>
        <n v="3844"/>
        <n v="3324"/>
        <n v="5894"/>
        <n v="500"/>
        <n v="710"/>
        <n v="6014"/>
        <n v="3249"/>
        <n v="2763"/>
        <n v="7448"/>
        <n v="2341"/>
        <n v="894"/>
        <n v="6556"/>
        <n v="4254"/>
        <n v="6616"/>
        <n v="2580"/>
        <n v="272"/>
        <n v="2046"/>
        <n v="6869"/>
        <n v="7592"/>
        <n v="2855"/>
        <n v="2999"/>
        <n v="7090"/>
        <n v="6060"/>
        <n v="7598"/>
        <n v="4423"/>
        <n v="6171"/>
        <n v="1263"/>
        <n v="1616"/>
        <n v="4221"/>
        <n v="6410"/>
        <n v="1050"/>
        <n v="4252"/>
        <n v="5937"/>
        <n v="6990"/>
        <n v="5364"/>
        <n v="856"/>
        <n v="6985"/>
        <n v="5635"/>
        <n v="6672"/>
        <n v="4370"/>
        <n v="7683"/>
        <n v="6740"/>
        <n v="7273"/>
        <n v="5865"/>
        <n v="1709"/>
        <n v="1198"/>
        <n v="517"/>
        <n v="893"/>
        <n v="5308"/>
        <n v="6308"/>
        <n v="2007"/>
        <n v="1031"/>
        <n v="2847"/>
        <n v="2600"/>
        <n v="3685"/>
        <n v="4117"/>
        <n v="1460"/>
        <n v="7363"/>
        <n v="1068"/>
        <n v="6057"/>
        <n v="4397"/>
        <n v="3804"/>
        <n v="4449"/>
        <n v="4231"/>
        <n v="3254"/>
        <n v="6295"/>
        <n v="1256"/>
        <n v="6514"/>
        <n v="6931"/>
        <n v="2431"/>
        <n v="3171"/>
        <n v="4718"/>
        <n v="1436"/>
        <n v="7516"/>
        <n v="5324"/>
        <n v="4739"/>
        <n v="293"/>
        <n v="7873"/>
        <n v="2779"/>
        <n v="7805"/>
        <n v="1727"/>
        <n v="739"/>
        <n v="5273"/>
        <n v="4769"/>
        <n v="6803"/>
        <n v="1023"/>
        <n v="969"/>
        <n v="6136"/>
        <n v="4813"/>
        <n v="541"/>
        <m/>
      </sharedItems>
    </cacheField>
    <cacheField name="Discount (%)" numFmtId="0">
      <sharedItems containsString="0" containsBlank="1" containsNumber="1" containsInteger="1" minValue="0" maxValue="20" count="6">
        <n v="5"/>
        <n v="0"/>
        <n v="10"/>
        <n v="15"/>
        <n v="20"/>
        <m/>
      </sharedItems>
    </cacheField>
    <cacheField name="Sales Amount" numFmtId="0">
      <sharedItems containsString="0" containsBlank="1" containsNumber="1" minValue="0" maxValue="37396.75" count="151">
        <n v="1672"/>
        <n v="9633"/>
        <n v="16767"/>
        <n v="18524"/>
        <n v="2996"/>
        <n v="9261"/>
        <n v="10176"/>
        <n v="15518.25"/>
        <n v="15276.2"/>
        <n v="13940"/>
        <n v="4787.2"/>
        <n v="33196.5"/>
        <n v="22579.2"/>
        <n v="24800"/>
        <n v="17392"/>
        <n v="2239.2"/>
        <n v="2366.4"/>
        <n v="8222.4"/>
        <n v="3175.85"/>
        <n v="18637.95"/>
        <n v="9715.5"/>
        <n v="16478.7"/>
        <n v="5844"/>
        <n v="13377.6"/>
        <n v="2761.2"/>
        <n v="17400"/>
        <n v="3326.4"/>
        <n v="9701.4"/>
        <n v="3609.1"/>
        <n v="5100"/>
        <n v="508"/>
        <n v="25744"/>
        <n v="28980"/>
        <n v="888.3"/>
        <n v="9760.5"/>
        <n v="11412"/>
        <n v="12045.6"/>
        <n v="7229.25"/>
        <n v="24086.4"/>
        <n v="20332"/>
        <n v="29133"/>
        <n v="16623"/>
        <n v="11524"/>
        <n v="6717.6"/>
        <n v="6857.1"/>
        <n v="1847.9"/>
        <n v="6249.1"/>
        <n v="5931"/>
        <n v="9856"/>
        <n v="433.2"/>
        <n v="5582.8"/>
        <n v="34560"/>
        <n v="6448.1"/>
        <n v="1536.15"/>
        <n v="28768"/>
        <n v="14640"/>
        <n v="2584"/>
        <n v="11623.5"/>
        <n v="7303.6"/>
        <n v="3157.8"/>
        <n v="5894"/>
        <n v="2000"/>
        <n v="2414"/>
        <n v="28566.5"/>
        <n v="10396.8"/>
        <n v="8289"/>
        <n v="37240"/>
        <n v="1989.85"/>
        <n v="1430.4"/>
        <n v="15734.4"/>
        <n v="10209.6"/>
        <n v="33080"/>
        <n v="9288"/>
        <n v="258.4"/>
        <n v="5524.2"/>
        <n v="11677.3"/>
        <n v="22776"/>
        <n v="2426.75"/>
        <n v="2849.05"/>
        <n v="12053"/>
        <n v="5151"/>
        <n v="21654.3"/>
        <n v="3980.7"/>
        <n v="20981.4"/>
        <n v="5999.25"/>
        <n v="4120.8"/>
        <n v="3376.8"/>
        <n v="11538"/>
        <n v="4200"/>
        <n v="4252"/>
        <n v="22560.6"/>
        <n v="27960"/>
        <n v="24138"/>
        <n v="3852"/>
        <n v="26543"/>
        <n v="26766.25"/>
        <n v="28356"/>
        <n v="6992"/>
        <n v="18439.2"/>
        <n v="20220"/>
        <n v="28845"/>
        <n v="6545.7"/>
        <n v="5865"/>
        <n v="3247.1"/>
        <n v="5690.5"/>
        <n v="465.3"/>
        <n v="12952.3"/>
        <n v="1428.8"/>
        <n v="15924"/>
        <n v="5992.6"/>
        <n v="5719.95"/>
        <n v="2783.7"/>
        <n v="6832.8"/>
        <n v="10400"/>
        <n v="14740"/>
        <n v="8234"/>
        <n v="3504"/>
        <n v="20984.55"/>
        <n v="854.4"/>
        <n v="25742.25"/>
        <n v="7914.6"/>
        <n v="9129.6"/>
        <n v="15126.6"/>
        <n v="8038.9"/>
        <n v="6182.6"/>
        <n v="17940.75"/>
        <n v="4521.6"/>
        <n v="6188.3"/>
        <n v="20793"/>
        <n v="6928.35"/>
        <n v="15855"/>
        <n v="11323.2"/>
        <n v="6821"/>
        <n v="12777.2"/>
        <n v="19166.4"/>
        <n v="4265.1"/>
        <n v="249.05"/>
        <n v="37396.75"/>
        <n v="5558"/>
        <n v="13268.5"/>
        <n v="7339.75"/>
        <n v="3695"/>
        <n v="8964.1"/>
        <n v="11445.6"/>
        <n v="34015"/>
        <n v="4859.25"/>
        <n v="872.1"/>
        <n v="27612"/>
        <n v="9626"/>
        <n v="459.85"/>
        <m/>
      </sharedItems>
    </cacheField>
    <cacheField name="Payment Mode" numFmtId="0">
      <sharedItems containsBlank="1" count="5">
        <s v="UPI"/>
        <s v="Debit Card"/>
        <s v="Cash"/>
        <s v="Credit Card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1">
  <r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1"/>
    <x v="1"/>
    <x v="1"/>
    <x v="1"/>
    <x v="1"/>
    <x v="1"/>
    <x v="0"/>
    <x v="1"/>
    <x v="1"/>
  </r>
  <r>
    <x v="2"/>
    <x v="2"/>
    <x v="2"/>
    <x v="2"/>
    <x v="1"/>
    <x v="2"/>
    <x v="2"/>
    <x v="2"/>
    <x v="1"/>
    <x v="1"/>
    <x v="1"/>
    <x v="2"/>
    <x v="1"/>
    <x v="2"/>
    <x v="1"/>
  </r>
  <r>
    <x v="3"/>
    <x v="3"/>
    <x v="3"/>
    <x v="1"/>
    <x v="0"/>
    <x v="3"/>
    <x v="3"/>
    <x v="3"/>
    <x v="1"/>
    <x v="2"/>
    <x v="2"/>
    <x v="3"/>
    <x v="1"/>
    <x v="3"/>
    <x v="1"/>
  </r>
  <r>
    <x v="4"/>
    <x v="4"/>
    <x v="4"/>
    <x v="3"/>
    <x v="0"/>
    <x v="4"/>
    <x v="4"/>
    <x v="4"/>
    <x v="1"/>
    <x v="3"/>
    <x v="3"/>
    <x v="4"/>
    <x v="1"/>
    <x v="4"/>
    <x v="1"/>
  </r>
  <r>
    <x v="5"/>
    <x v="5"/>
    <x v="5"/>
    <x v="4"/>
    <x v="1"/>
    <x v="3"/>
    <x v="5"/>
    <x v="5"/>
    <x v="2"/>
    <x v="4"/>
    <x v="4"/>
    <x v="5"/>
    <x v="2"/>
    <x v="5"/>
    <x v="2"/>
  </r>
  <r>
    <x v="6"/>
    <x v="6"/>
    <x v="6"/>
    <x v="2"/>
    <x v="1"/>
    <x v="3"/>
    <x v="2"/>
    <x v="2"/>
    <x v="1"/>
    <x v="3"/>
    <x v="1"/>
    <x v="6"/>
    <x v="1"/>
    <x v="6"/>
    <x v="3"/>
  </r>
  <r>
    <x v="7"/>
    <x v="7"/>
    <x v="7"/>
    <x v="5"/>
    <x v="1"/>
    <x v="5"/>
    <x v="6"/>
    <x v="6"/>
    <x v="2"/>
    <x v="5"/>
    <x v="4"/>
    <x v="7"/>
    <x v="0"/>
    <x v="7"/>
    <x v="1"/>
  </r>
  <r>
    <x v="8"/>
    <x v="8"/>
    <x v="8"/>
    <x v="6"/>
    <x v="0"/>
    <x v="6"/>
    <x v="6"/>
    <x v="6"/>
    <x v="1"/>
    <x v="6"/>
    <x v="2"/>
    <x v="8"/>
    <x v="3"/>
    <x v="8"/>
    <x v="0"/>
  </r>
  <r>
    <x v="9"/>
    <x v="9"/>
    <x v="9"/>
    <x v="7"/>
    <x v="0"/>
    <x v="7"/>
    <x v="7"/>
    <x v="7"/>
    <x v="3"/>
    <x v="7"/>
    <x v="2"/>
    <x v="9"/>
    <x v="3"/>
    <x v="9"/>
    <x v="1"/>
  </r>
  <r>
    <x v="10"/>
    <x v="10"/>
    <x v="10"/>
    <x v="1"/>
    <x v="0"/>
    <x v="8"/>
    <x v="3"/>
    <x v="3"/>
    <x v="1"/>
    <x v="3"/>
    <x v="0"/>
    <x v="10"/>
    <x v="4"/>
    <x v="10"/>
    <x v="3"/>
  </r>
  <r>
    <x v="11"/>
    <x v="11"/>
    <x v="11"/>
    <x v="8"/>
    <x v="1"/>
    <x v="9"/>
    <x v="7"/>
    <x v="7"/>
    <x v="3"/>
    <x v="8"/>
    <x v="4"/>
    <x v="11"/>
    <x v="2"/>
    <x v="11"/>
    <x v="0"/>
  </r>
  <r>
    <x v="12"/>
    <x v="12"/>
    <x v="12"/>
    <x v="0"/>
    <x v="0"/>
    <x v="9"/>
    <x v="1"/>
    <x v="1"/>
    <x v="1"/>
    <x v="9"/>
    <x v="2"/>
    <x v="12"/>
    <x v="2"/>
    <x v="12"/>
    <x v="3"/>
  </r>
  <r>
    <x v="13"/>
    <x v="13"/>
    <x v="13"/>
    <x v="5"/>
    <x v="1"/>
    <x v="10"/>
    <x v="8"/>
    <x v="8"/>
    <x v="2"/>
    <x v="5"/>
    <x v="2"/>
    <x v="13"/>
    <x v="1"/>
    <x v="13"/>
    <x v="0"/>
  </r>
  <r>
    <x v="14"/>
    <x v="14"/>
    <x v="14"/>
    <x v="9"/>
    <x v="1"/>
    <x v="11"/>
    <x v="3"/>
    <x v="3"/>
    <x v="3"/>
    <x v="8"/>
    <x v="2"/>
    <x v="14"/>
    <x v="4"/>
    <x v="14"/>
    <x v="0"/>
  </r>
  <r>
    <x v="15"/>
    <x v="15"/>
    <x v="15"/>
    <x v="10"/>
    <x v="0"/>
    <x v="8"/>
    <x v="3"/>
    <x v="3"/>
    <x v="2"/>
    <x v="10"/>
    <x v="1"/>
    <x v="15"/>
    <x v="4"/>
    <x v="15"/>
    <x v="0"/>
  </r>
  <r>
    <x v="16"/>
    <x v="16"/>
    <x v="16"/>
    <x v="11"/>
    <x v="1"/>
    <x v="1"/>
    <x v="2"/>
    <x v="2"/>
    <x v="3"/>
    <x v="8"/>
    <x v="3"/>
    <x v="16"/>
    <x v="4"/>
    <x v="16"/>
    <x v="3"/>
  </r>
  <r>
    <x v="17"/>
    <x v="17"/>
    <x v="17"/>
    <x v="2"/>
    <x v="1"/>
    <x v="12"/>
    <x v="2"/>
    <x v="2"/>
    <x v="3"/>
    <x v="11"/>
    <x v="1"/>
    <x v="17"/>
    <x v="4"/>
    <x v="17"/>
    <x v="1"/>
  </r>
  <r>
    <x v="18"/>
    <x v="18"/>
    <x v="18"/>
    <x v="4"/>
    <x v="1"/>
    <x v="13"/>
    <x v="0"/>
    <x v="0"/>
    <x v="0"/>
    <x v="0"/>
    <x v="0"/>
    <x v="18"/>
    <x v="0"/>
    <x v="18"/>
    <x v="1"/>
  </r>
  <r>
    <x v="19"/>
    <x v="19"/>
    <x v="19"/>
    <x v="12"/>
    <x v="1"/>
    <x v="14"/>
    <x v="6"/>
    <x v="6"/>
    <x v="3"/>
    <x v="8"/>
    <x v="1"/>
    <x v="19"/>
    <x v="3"/>
    <x v="19"/>
    <x v="3"/>
  </r>
  <r>
    <x v="20"/>
    <x v="20"/>
    <x v="20"/>
    <x v="0"/>
    <x v="0"/>
    <x v="13"/>
    <x v="0"/>
    <x v="0"/>
    <x v="0"/>
    <x v="12"/>
    <x v="4"/>
    <x v="20"/>
    <x v="3"/>
    <x v="20"/>
    <x v="3"/>
  </r>
  <r>
    <x v="21"/>
    <x v="21"/>
    <x v="21"/>
    <x v="3"/>
    <x v="0"/>
    <x v="2"/>
    <x v="8"/>
    <x v="8"/>
    <x v="3"/>
    <x v="13"/>
    <x v="1"/>
    <x v="21"/>
    <x v="0"/>
    <x v="21"/>
    <x v="2"/>
  </r>
  <r>
    <x v="22"/>
    <x v="22"/>
    <x v="22"/>
    <x v="9"/>
    <x v="1"/>
    <x v="1"/>
    <x v="5"/>
    <x v="5"/>
    <x v="2"/>
    <x v="10"/>
    <x v="1"/>
    <x v="22"/>
    <x v="4"/>
    <x v="22"/>
    <x v="3"/>
  </r>
  <r>
    <x v="23"/>
    <x v="23"/>
    <x v="23"/>
    <x v="0"/>
    <x v="0"/>
    <x v="15"/>
    <x v="9"/>
    <x v="9"/>
    <x v="3"/>
    <x v="11"/>
    <x v="3"/>
    <x v="23"/>
    <x v="2"/>
    <x v="23"/>
    <x v="3"/>
  </r>
  <r>
    <x v="24"/>
    <x v="24"/>
    <x v="24"/>
    <x v="13"/>
    <x v="0"/>
    <x v="16"/>
    <x v="0"/>
    <x v="0"/>
    <x v="1"/>
    <x v="6"/>
    <x v="0"/>
    <x v="24"/>
    <x v="2"/>
    <x v="24"/>
    <x v="2"/>
  </r>
  <r>
    <x v="25"/>
    <x v="25"/>
    <x v="25"/>
    <x v="14"/>
    <x v="1"/>
    <x v="17"/>
    <x v="5"/>
    <x v="5"/>
    <x v="1"/>
    <x v="3"/>
    <x v="1"/>
    <x v="25"/>
    <x v="1"/>
    <x v="25"/>
    <x v="2"/>
  </r>
  <r>
    <x v="26"/>
    <x v="26"/>
    <x v="26"/>
    <x v="8"/>
    <x v="1"/>
    <x v="0"/>
    <x v="4"/>
    <x v="4"/>
    <x v="3"/>
    <x v="7"/>
    <x v="1"/>
    <x v="26"/>
    <x v="2"/>
    <x v="26"/>
    <x v="1"/>
  </r>
  <r>
    <x v="27"/>
    <x v="27"/>
    <x v="27"/>
    <x v="5"/>
    <x v="1"/>
    <x v="0"/>
    <x v="4"/>
    <x v="4"/>
    <x v="1"/>
    <x v="3"/>
    <x v="3"/>
    <x v="27"/>
    <x v="0"/>
    <x v="27"/>
    <x v="2"/>
  </r>
  <r>
    <x v="28"/>
    <x v="28"/>
    <x v="28"/>
    <x v="15"/>
    <x v="0"/>
    <x v="5"/>
    <x v="1"/>
    <x v="1"/>
    <x v="3"/>
    <x v="13"/>
    <x v="0"/>
    <x v="28"/>
    <x v="3"/>
    <x v="28"/>
    <x v="2"/>
  </r>
  <r>
    <x v="29"/>
    <x v="29"/>
    <x v="29"/>
    <x v="16"/>
    <x v="0"/>
    <x v="16"/>
    <x v="8"/>
    <x v="8"/>
    <x v="3"/>
    <x v="14"/>
    <x v="1"/>
    <x v="29"/>
    <x v="3"/>
    <x v="29"/>
    <x v="2"/>
  </r>
  <r>
    <x v="30"/>
    <x v="30"/>
    <x v="30"/>
    <x v="0"/>
    <x v="0"/>
    <x v="16"/>
    <x v="9"/>
    <x v="9"/>
    <x v="0"/>
    <x v="12"/>
    <x v="3"/>
    <x v="30"/>
    <x v="1"/>
    <x v="30"/>
    <x v="2"/>
  </r>
  <r>
    <x v="31"/>
    <x v="31"/>
    <x v="31"/>
    <x v="4"/>
    <x v="1"/>
    <x v="4"/>
    <x v="3"/>
    <x v="3"/>
    <x v="2"/>
    <x v="15"/>
    <x v="4"/>
    <x v="31"/>
    <x v="4"/>
    <x v="31"/>
    <x v="2"/>
  </r>
  <r>
    <x v="32"/>
    <x v="32"/>
    <x v="32"/>
    <x v="4"/>
    <x v="1"/>
    <x v="18"/>
    <x v="9"/>
    <x v="9"/>
    <x v="0"/>
    <x v="0"/>
    <x v="4"/>
    <x v="32"/>
    <x v="2"/>
    <x v="32"/>
    <x v="3"/>
  </r>
  <r>
    <x v="33"/>
    <x v="33"/>
    <x v="33"/>
    <x v="3"/>
    <x v="0"/>
    <x v="3"/>
    <x v="6"/>
    <x v="6"/>
    <x v="0"/>
    <x v="12"/>
    <x v="1"/>
    <x v="33"/>
    <x v="2"/>
    <x v="33"/>
    <x v="1"/>
  </r>
  <r>
    <x v="34"/>
    <x v="34"/>
    <x v="34"/>
    <x v="5"/>
    <x v="1"/>
    <x v="12"/>
    <x v="1"/>
    <x v="1"/>
    <x v="0"/>
    <x v="0"/>
    <x v="1"/>
    <x v="34"/>
    <x v="2"/>
    <x v="34"/>
    <x v="0"/>
  </r>
  <r>
    <x v="35"/>
    <x v="35"/>
    <x v="35"/>
    <x v="2"/>
    <x v="1"/>
    <x v="13"/>
    <x v="6"/>
    <x v="6"/>
    <x v="1"/>
    <x v="6"/>
    <x v="4"/>
    <x v="35"/>
    <x v="4"/>
    <x v="35"/>
    <x v="1"/>
  </r>
  <r>
    <x v="36"/>
    <x v="36"/>
    <x v="36"/>
    <x v="4"/>
    <x v="1"/>
    <x v="6"/>
    <x v="1"/>
    <x v="1"/>
    <x v="3"/>
    <x v="8"/>
    <x v="1"/>
    <x v="36"/>
    <x v="4"/>
    <x v="36"/>
    <x v="2"/>
  </r>
  <r>
    <x v="37"/>
    <x v="37"/>
    <x v="37"/>
    <x v="15"/>
    <x v="0"/>
    <x v="17"/>
    <x v="9"/>
    <x v="9"/>
    <x v="0"/>
    <x v="16"/>
    <x v="1"/>
    <x v="37"/>
    <x v="3"/>
    <x v="37"/>
    <x v="0"/>
  </r>
  <r>
    <x v="38"/>
    <x v="38"/>
    <x v="38"/>
    <x v="12"/>
    <x v="1"/>
    <x v="2"/>
    <x v="2"/>
    <x v="2"/>
    <x v="1"/>
    <x v="6"/>
    <x v="2"/>
    <x v="38"/>
    <x v="4"/>
    <x v="38"/>
    <x v="1"/>
  </r>
  <r>
    <x v="39"/>
    <x v="39"/>
    <x v="39"/>
    <x v="11"/>
    <x v="1"/>
    <x v="12"/>
    <x v="0"/>
    <x v="0"/>
    <x v="0"/>
    <x v="17"/>
    <x v="4"/>
    <x v="39"/>
    <x v="3"/>
    <x v="39"/>
    <x v="2"/>
  </r>
  <r>
    <x v="40"/>
    <x v="40"/>
    <x v="40"/>
    <x v="14"/>
    <x v="1"/>
    <x v="19"/>
    <x v="5"/>
    <x v="5"/>
    <x v="3"/>
    <x v="14"/>
    <x v="4"/>
    <x v="40"/>
    <x v="2"/>
    <x v="40"/>
    <x v="1"/>
  </r>
  <r>
    <x v="41"/>
    <x v="41"/>
    <x v="41"/>
    <x v="17"/>
    <x v="1"/>
    <x v="8"/>
    <x v="5"/>
    <x v="5"/>
    <x v="1"/>
    <x v="1"/>
    <x v="4"/>
    <x v="41"/>
    <x v="2"/>
    <x v="41"/>
    <x v="3"/>
  </r>
  <r>
    <x v="42"/>
    <x v="42"/>
    <x v="42"/>
    <x v="3"/>
    <x v="0"/>
    <x v="18"/>
    <x v="2"/>
    <x v="2"/>
    <x v="2"/>
    <x v="15"/>
    <x v="4"/>
    <x v="42"/>
    <x v="4"/>
    <x v="42"/>
    <x v="2"/>
  </r>
  <r>
    <x v="43"/>
    <x v="43"/>
    <x v="43"/>
    <x v="8"/>
    <x v="1"/>
    <x v="1"/>
    <x v="4"/>
    <x v="4"/>
    <x v="2"/>
    <x v="4"/>
    <x v="0"/>
    <x v="43"/>
    <x v="2"/>
    <x v="43"/>
    <x v="1"/>
  </r>
  <r>
    <x v="44"/>
    <x v="44"/>
    <x v="44"/>
    <x v="10"/>
    <x v="0"/>
    <x v="14"/>
    <x v="4"/>
    <x v="4"/>
    <x v="0"/>
    <x v="0"/>
    <x v="0"/>
    <x v="44"/>
    <x v="2"/>
    <x v="44"/>
    <x v="0"/>
  </r>
  <r>
    <x v="45"/>
    <x v="45"/>
    <x v="45"/>
    <x v="2"/>
    <x v="1"/>
    <x v="1"/>
    <x v="9"/>
    <x v="9"/>
    <x v="1"/>
    <x v="2"/>
    <x v="3"/>
    <x v="45"/>
    <x v="3"/>
    <x v="45"/>
    <x v="2"/>
  </r>
  <r>
    <x v="46"/>
    <x v="46"/>
    <x v="46"/>
    <x v="17"/>
    <x v="1"/>
    <x v="20"/>
    <x v="5"/>
    <x v="5"/>
    <x v="0"/>
    <x v="17"/>
    <x v="0"/>
    <x v="46"/>
    <x v="0"/>
    <x v="46"/>
    <x v="3"/>
  </r>
  <r>
    <x v="47"/>
    <x v="47"/>
    <x v="47"/>
    <x v="14"/>
    <x v="1"/>
    <x v="20"/>
    <x v="2"/>
    <x v="2"/>
    <x v="0"/>
    <x v="16"/>
    <x v="1"/>
    <x v="47"/>
    <x v="1"/>
    <x v="47"/>
    <x v="1"/>
  </r>
  <r>
    <x v="48"/>
    <x v="48"/>
    <x v="48"/>
    <x v="6"/>
    <x v="0"/>
    <x v="21"/>
    <x v="3"/>
    <x v="3"/>
    <x v="1"/>
    <x v="6"/>
    <x v="2"/>
    <x v="48"/>
    <x v="1"/>
    <x v="48"/>
    <x v="3"/>
  </r>
  <r>
    <x v="49"/>
    <x v="49"/>
    <x v="49"/>
    <x v="5"/>
    <x v="1"/>
    <x v="17"/>
    <x v="7"/>
    <x v="7"/>
    <x v="2"/>
    <x v="10"/>
    <x v="0"/>
    <x v="49"/>
    <x v="0"/>
    <x v="49"/>
    <x v="3"/>
  </r>
  <r>
    <x v="50"/>
    <x v="50"/>
    <x v="50"/>
    <x v="9"/>
    <x v="1"/>
    <x v="12"/>
    <x v="5"/>
    <x v="5"/>
    <x v="1"/>
    <x v="1"/>
    <x v="3"/>
    <x v="50"/>
    <x v="3"/>
    <x v="50"/>
    <x v="0"/>
  </r>
  <r>
    <x v="51"/>
    <x v="51"/>
    <x v="51"/>
    <x v="11"/>
    <x v="1"/>
    <x v="22"/>
    <x v="6"/>
    <x v="6"/>
    <x v="3"/>
    <x v="8"/>
    <x v="4"/>
    <x v="51"/>
    <x v="1"/>
    <x v="51"/>
    <x v="0"/>
  </r>
  <r>
    <x v="52"/>
    <x v="52"/>
    <x v="52"/>
    <x v="0"/>
    <x v="0"/>
    <x v="21"/>
    <x v="4"/>
    <x v="4"/>
    <x v="1"/>
    <x v="3"/>
    <x v="0"/>
    <x v="52"/>
    <x v="3"/>
    <x v="52"/>
    <x v="1"/>
  </r>
  <r>
    <x v="53"/>
    <x v="53"/>
    <x v="53"/>
    <x v="0"/>
    <x v="0"/>
    <x v="9"/>
    <x v="2"/>
    <x v="2"/>
    <x v="3"/>
    <x v="13"/>
    <x v="0"/>
    <x v="53"/>
    <x v="0"/>
    <x v="53"/>
    <x v="3"/>
  </r>
  <r>
    <x v="54"/>
    <x v="54"/>
    <x v="54"/>
    <x v="11"/>
    <x v="1"/>
    <x v="23"/>
    <x v="6"/>
    <x v="6"/>
    <x v="2"/>
    <x v="4"/>
    <x v="4"/>
    <x v="54"/>
    <x v="4"/>
    <x v="54"/>
    <x v="1"/>
  </r>
  <r>
    <x v="55"/>
    <x v="55"/>
    <x v="55"/>
    <x v="13"/>
    <x v="0"/>
    <x v="24"/>
    <x v="3"/>
    <x v="3"/>
    <x v="2"/>
    <x v="10"/>
    <x v="4"/>
    <x v="55"/>
    <x v="1"/>
    <x v="55"/>
    <x v="1"/>
  </r>
  <r>
    <x v="56"/>
    <x v="56"/>
    <x v="56"/>
    <x v="8"/>
    <x v="1"/>
    <x v="4"/>
    <x v="5"/>
    <x v="5"/>
    <x v="3"/>
    <x v="7"/>
    <x v="3"/>
    <x v="56"/>
    <x v="1"/>
    <x v="56"/>
    <x v="1"/>
  </r>
  <r>
    <x v="57"/>
    <x v="57"/>
    <x v="57"/>
    <x v="18"/>
    <x v="1"/>
    <x v="2"/>
    <x v="5"/>
    <x v="5"/>
    <x v="0"/>
    <x v="12"/>
    <x v="4"/>
    <x v="57"/>
    <x v="2"/>
    <x v="57"/>
    <x v="2"/>
  </r>
  <r>
    <x v="58"/>
    <x v="58"/>
    <x v="58"/>
    <x v="15"/>
    <x v="0"/>
    <x v="14"/>
    <x v="9"/>
    <x v="9"/>
    <x v="1"/>
    <x v="2"/>
    <x v="3"/>
    <x v="58"/>
    <x v="0"/>
    <x v="58"/>
    <x v="0"/>
  </r>
  <r>
    <x v="59"/>
    <x v="59"/>
    <x v="59"/>
    <x v="11"/>
    <x v="1"/>
    <x v="13"/>
    <x v="4"/>
    <x v="4"/>
    <x v="3"/>
    <x v="14"/>
    <x v="0"/>
    <x v="59"/>
    <x v="0"/>
    <x v="59"/>
    <x v="1"/>
  </r>
  <r>
    <x v="60"/>
    <x v="60"/>
    <x v="60"/>
    <x v="12"/>
    <x v="1"/>
    <x v="3"/>
    <x v="0"/>
    <x v="0"/>
    <x v="1"/>
    <x v="2"/>
    <x v="0"/>
    <x v="60"/>
    <x v="1"/>
    <x v="60"/>
    <x v="3"/>
  </r>
  <r>
    <x v="61"/>
    <x v="61"/>
    <x v="61"/>
    <x v="3"/>
    <x v="0"/>
    <x v="7"/>
    <x v="5"/>
    <x v="5"/>
    <x v="0"/>
    <x v="16"/>
    <x v="2"/>
    <x v="61"/>
    <x v="1"/>
    <x v="61"/>
    <x v="0"/>
  </r>
  <r>
    <x v="62"/>
    <x v="62"/>
    <x v="62"/>
    <x v="12"/>
    <x v="1"/>
    <x v="0"/>
    <x v="7"/>
    <x v="7"/>
    <x v="3"/>
    <x v="13"/>
    <x v="2"/>
    <x v="62"/>
    <x v="3"/>
    <x v="62"/>
    <x v="0"/>
  </r>
  <r>
    <x v="63"/>
    <x v="63"/>
    <x v="63"/>
    <x v="10"/>
    <x v="0"/>
    <x v="25"/>
    <x v="9"/>
    <x v="9"/>
    <x v="0"/>
    <x v="17"/>
    <x v="4"/>
    <x v="63"/>
    <x v="0"/>
    <x v="63"/>
    <x v="0"/>
  </r>
  <r>
    <x v="64"/>
    <x v="64"/>
    <x v="64"/>
    <x v="2"/>
    <x v="1"/>
    <x v="4"/>
    <x v="1"/>
    <x v="1"/>
    <x v="3"/>
    <x v="14"/>
    <x v="2"/>
    <x v="64"/>
    <x v="4"/>
    <x v="64"/>
    <x v="3"/>
  </r>
  <r>
    <x v="65"/>
    <x v="65"/>
    <x v="65"/>
    <x v="6"/>
    <x v="0"/>
    <x v="0"/>
    <x v="1"/>
    <x v="1"/>
    <x v="0"/>
    <x v="17"/>
    <x v="1"/>
    <x v="65"/>
    <x v="1"/>
    <x v="65"/>
    <x v="0"/>
  </r>
  <r>
    <x v="66"/>
    <x v="66"/>
    <x v="66"/>
    <x v="7"/>
    <x v="0"/>
    <x v="23"/>
    <x v="4"/>
    <x v="4"/>
    <x v="0"/>
    <x v="0"/>
    <x v="4"/>
    <x v="66"/>
    <x v="1"/>
    <x v="66"/>
    <x v="1"/>
  </r>
  <r>
    <x v="67"/>
    <x v="67"/>
    <x v="67"/>
    <x v="2"/>
    <x v="1"/>
    <x v="14"/>
    <x v="4"/>
    <x v="4"/>
    <x v="1"/>
    <x v="6"/>
    <x v="0"/>
    <x v="67"/>
    <x v="3"/>
    <x v="67"/>
    <x v="0"/>
  </r>
  <r>
    <x v="68"/>
    <x v="68"/>
    <x v="68"/>
    <x v="16"/>
    <x v="0"/>
    <x v="14"/>
    <x v="0"/>
    <x v="0"/>
    <x v="3"/>
    <x v="8"/>
    <x v="3"/>
    <x v="68"/>
    <x v="4"/>
    <x v="68"/>
    <x v="3"/>
  </r>
  <r>
    <x v="69"/>
    <x v="69"/>
    <x v="69"/>
    <x v="15"/>
    <x v="0"/>
    <x v="6"/>
    <x v="6"/>
    <x v="6"/>
    <x v="0"/>
    <x v="12"/>
    <x v="1"/>
    <x v="69"/>
    <x v="4"/>
    <x v="69"/>
    <x v="0"/>
  </r>
  <r>
    <x v="70"/>
    <x v="70"/>
    <x v="70"/>
    <x v="15"/>
    <x v="0"/>
    <x v="3"/>
    <x v="9"/>
    <x v="9"/>
    <x v="1"/>
    <x v="2"/>
    <x v="1"/>
    <x v="70"/>
    <x v="4"/>
    <x v="70"/>
    <x v="3"/>
  </r>
  <r>
    <x v="71"/>
    <x v="71"/>
    <x v="71"/>
    <x v="9"/>
    <x v="1"/>
    <x v="17"/>
    <x v="9"/>
    <x v="9"/>
    <x v="2"/>
    <x v="10"/>
    <x v="4"/>
    <x v="71"/>
    <x v="1"/>
    <x v="71"/>
    <x v="2"/>
  </r>
  <r>
    <x v="72"/>
    <x v="72"/>
    <x v="72"/>
    <x v="12"/>
    <x v="1"/>
    <x v="14"/>
    <x v="2"/>
    <x v="2"/>
    <x v="1"/>
    <x v="9"/>
    <x v="2"/>
    <x v="72"/>
    <x v="2"/>
    <x v="72"/>
    <x v="2"/>
  </r>
  <r>
    <x v="73"/>
    <x v="73"/>
    <x v="73"/>
    <x v="10"/>
    <x v="0"/>
    <x v="24"/>
    <x v="9"/>
    <x v="9"/>
    <x v="1"/>
    <x v="9"/>
    <x v="0"/>
    <x v="73"/>
    <x v="0"/>
    <x v="73"/>
    <x v="1"/>
  </r>
  <r>
    <x v="74"/>
    <x v="74"/>
    <x v="74"/>
    <x v="1"/>
    <x v="0"/>
    <x v="26"/>
    <x v="3"/>
    <x v="3"/>
    <x v="1"/>
    <x v="9"/>
    <x v="1"/>
    <x v="74"/>
    <x v="2"/>
    <x v="74"/>
    <x v="1"/>
  </r>
  <r>
    <x v="75"/>
    <x v="75"/>
    <x v="75"/>
    <x v="3"/>
    <x v="0"/>
    <x v="20"/>
    <x v="1"/>
    <x v="1"/>
    <x v="1"/>
    <x v="6"/>
    <x v="3"/>
    <x v="75"/>
    <x v="3"/>
    <x v="75"/>
    <x v="2"/>
  </r>
  <r>
    <x v="76"/>
    <x v="76"/>
    <x v="76"/>
    <x v="12"/>
    <x v="1"/>
    <x v="8"/>
    <x v="5"/>
    <x v="5"/>
    <x v="2"/>
    <x v="10"/>
    <x v="1"/>
    <x v="76"/>
    <x v="1"/>
    <x v="76"/>
    <x v="0"/>
  </r>
  <r>
    <x v="77"/>
    <x v="77"/>
    <x v="77"/>
    <x v="1"/>
    <x v="0"/>
    <x v="10"/>
    <x v="1"/>
    <x v="1"/>
    <x v="3"/>
    <x v="14"/>
    <x v="0"/>
    <x v="77"/>
    <x v="3"/>
    <x v="77"/>
    <x v="3"/>
  </r>
  <r>
    <x v="78"/>
    <x v="78"/>
    <x v="78"/>
    <x v="12"/>
    <x v="1"/>
    <x v="16"/>
    <x v="1"/>
    <x v="1"/>
    <x v="1"/>
    <x v="6"/>
    <x v="0"/>
    <x v="78"/>
    <x v="0"/>
    <x v="78"/>
    <x v="3"/>
  </r>
  <r>
    <x v="79"/>
    <x v="79"/>
    <x v="79"/>
    <x v="19"/>
    <x v="0"/>
    <x v="18"/>
    <x v="3"/>
    <x v="3"/>
    <x v="3"/>
    <x v="14"/>
    <x v="3"/>
    <x v="79"/>
    <x v="3"/>
    <x v="79"/>
    <x v="3"/>
  </r>
  <r>
    <x v="80"/>
    <x v="80"/>
    <x v="80"/>
    <x v="13"/>
    <x v="0"/>
    <x v="27"/>
    <x v="9"/>
    <x v="9"/>
    <x v="3"/>
    <x v="11"/>
    <x v="0"/>
    <x v="80"/>
    <x v="3"/>
    <x v="80"/>
    <x v="2"/>
  </r>
  <r>
    <x v="81"/>
    <x v="81"/>
    <x v="81"/>
    <x v="16"/>
    <x v="0"/>
    <x v="28"/>
    <x v="2"/>
    <x v="2"/>
    <x v="2"/>
    <x v="15"/>
    <x v="1"/>
    <x v="81"/>
    <x v="0"/>
    <x v="81"/>
    <x v="1"/>
  </r>
  <r>
    <x v="82"/>
    <x v="82"/>
    <x v="82"/>
    <x v="7"/>
    <x v="0"/>
    <x v="2"/>
    <x v="5"/>
    <x v="5"/>
    <x v="3"/>
    <x v="8"/>
    <x v="0"/>
    <x v="82"/>
    <x v="2"/>
    <x v="82"/>
    <x v="2"/>
  </r>
  <r>
    <x v="83"/>
    <x v="83"/>
    <x v="83"/>
    <x v="11"/>
    <x v="1"/>
    <x v="4"/>
    <x v="7"/>
    <x v="7"/>
    <x v="1"/>
    <x v="6"/>
    <x v="2"/>
    <x v="83"/>
    <x v="3"/>
    <x v="83"/>
    <x v="3"/>
  </r>
  <r>
    <x v="84"/>
    <x v="84"/>
    <x v="84"/>
    <x v="18"/>
    <x v="1"/>
    <x v="6"/>
    <x v="4"/>
    <x v="4"/>
    <x v="2"/>
    <x v="10"/>
    <x v="4"/>
    <x v="84"/>
    <x v="0"/>
    <x v="84"/>
    <x v="3"/>
  </r>
  <r>
    <x v="85"/>
    <x v="85"/>
    <x v="85"/>
    <x v="5"/>
    <x v="1"/>
    <x v="27"/>
    <x v="7"/>
    <x v="7"/>
    <x v="3"/>
    <x v="8"/>
    <x v="1"/>
    <x v="85"/>
    <x v="3"/>
    <x v="85"/>
    <x v="0"/>
  </r>
  <r>
    <x v="86"/>
    <x v="86"/>
    <x v="86"/>
    <x v="0"/>
    <x v="0"/>
    <x v="6"/>
    <x v="3"/>
    <x v="3"/>
    <x v="0"/>
    <x v="12"/>
    <x v="0"/>
    <x v="86"/>
    <x v="4"/>
    <x v="86"/>
    <x v="2"/>
  </r>
  <r>
    <x v="87"/>
    <x v="87"/>
    <x v="87"/>
    <x v="4"/>
    <x v="1"/>
    <x v="27"/>
    <x v="4"/>
    <x v="4"/>
    <x v="2"/>
    <x v="5"/>
    <x v="3"/>
    <x v="87"/>
    <x v="2"/>
    <x v="87"/>
    <x v="0"/>
  </r>
  <r>
    <x v="88"/>
    <x v="88"/>
    <x v="88"/>
    <x v="16"/>
    <x v="0"/>
    <x v="27"/>
    <x v="1"/>
    <x v="1"/>
    <x v="3"/>
    <x v="13"/>
    <x v="4"/>
    <x v="88"/>
    <x v="4"/>
    <x v="88"/>
    <x v="2"/>
  </r>
  <r>
    <x v="89"/>
    <x v="89"/>
    <x v="89"/>
    <x v="3"/>
    <x v="0"/>
    <x v="29"/>
    <x v="1"/>
    <x v="1"/>
    <x v="2"/>
    <x v="4"/>
    <x v="0"/>
    <x v="89"/>
    <x v="1"/>
    <x v="89"/>
    <x v="2"/>
  </r>
  <r>
    <x v="90"/>
    <x v="90"/>
    <x v="90"/>
    <x v="2"/>
    <x v="1"/>
    <x v="2"/>
    <x v="3"/>
    <x v="3"/>
    <x v="3"/>
    <x v="14"/>
    <x v="2"/>
    <x v="90"/>
    <x v="0"/>
    <x v="90"/>
    <x v="0"/>
  </r>
  <r>
    <x v="91"/>
    <x v="91"/>
    <x v="91"/>
    <x v="10"/>
    <x v="0"/>
    <x v="7"/>
    <x v="3"/>
    <x v="3"/>
    <x v="3"/>
    <x v="13"/>
    <x v="4"/>
    <x v="91"/>
    <x v="4"/>
    <x v="91"/>
    <x v="1"/>
  </r>
  <r>
    <x v="92"/>
    <x v="92"/>
    <x v="92"/>
    <x v="15"/>
    <x v="0"/>
    <x v="5"/>
    <x v="4"/>
    <x v="4"/>
    <x v="1"/>
    <x v="1"/>
    <x v="4"/>
    <x v="92"/>
    <x v="2"/>
    <x v="92"/>
    <x v="3"/>
  </r>
  <r>
    <x v="93"/>
    <x v="93"/>
    <x v="93"/>
    <x v="5"/>
    <x v="1"/>
    <x v="2"/>
    <x v="5"/>
    <x v="5"/>
    <x v="2"/>
    <x v="5"/>
    <x v="4"/>
    <x v="93"/>
    <x v="2"/>
    <x v="93"/>
    <x v="3"/>
  </r>
  <r>
    <x v="94"/>
    <x v="94"/>
    <x v="94"/>
    <x v="7"/>
    <x v="0"/>
    <x v="7"/>
    <x v="2"/>
    <x v="2"/>
    <x v="3"/>
    <x v="14"/>
    <x v="2"/>
    <x v="94"/>
    <x v="0"/>
    <x v="94"/>
    <x v="3"/>
  </r>
  <r>
    <x v="95"/>
    <x v="95"/>
    <x v="95"/>
    <x v="7"/>
    <x v="0"/>
    <x v="24"/>
    <x v="6"/>
    <x v="6"/>
    <x v="0"/>
    <x v="16"/>
    <x v="4"/>
    <x v="95"/>
    <x v="0"/>
    <x v="95"/>
    <x v="2"/>
  </r>
  <r>
    <x v="96"/>
    <x v="96"/>
    <x v="96"/>
    <x v="16"/>
    <x v="0"/>
    <x v="9"/>
    <x v="2"/>
    <x v="2"/>
    <x v="0"/>
    <x v="12"/>
    <x v="4"/>
    <x v="96"/>
    <x v="3"/>
    <x v="96"/>
    <x v="3"/>
  </r>
  <r>
    <x v="97"/>
    <x v="97"/>
    <x v="97"/>
    <x v="8"/>
    <x v="1"/>
    <x v="2"/>
    <x v="2"/>
    <x v="2"/>
    <x v="1"/>
    <x v="3"/>
    <x v="3"/>
    <x v="97"/>
    <x v="4"/>
    <x v="97"/>
    <x v="2"/>
  </r>
  <r>
    <x v="98"/>
    <x v="98"/>
    <x v="98"/>
    <x v="16"/>
    <x v="0"/>
    <x v="0"/>
    <x v="5"/>
    <x v="5"/>
    <x v="1"/>
    <x v="9"/>
    <x v="1"/>
    <x v="98"/>
    <x v="4"/>
    <x v="98"/>
    <x v="0"/>
  </r>
  <r>
    <x v="99"/>
    <x v="99"/>
    <x v="99"/>
    <x v="19"/>
    <x v="0"/>
    <x v="30"/>
    <x v="6"/>
    <x v="6"/>
    <x v="1"/>
    <x v="9"/>
    <x v="1"/>
    <x v="99"/>
    <x v="1"/>
    <x v="99"/>
    <x v="1"/>
  </r>
  <r>
    <x v="100"/>
    <x v="100"/>
    <x v="100"/>
    <x v="6"/>
    <x v="0"/>
    <x v="24"/>
    <x v="9"/>
    <x v="9"/>
    <x v="1"/>
    <x v="2"/>
    <x v="4"/>
    <x v="87"/>
    <x v="2"/>
    <x v="100"/>
    <x v="1"/>
  </r>
  <r>
    <x v="101"/>
    <x v="101"/>
    <x v="101"/>
    <x v="17"/>
    <x v="1"/>
    <x v="6"/>
    <x v="3"/>
    <x v="3"/>
    <x v="3"/>
    <x v="13"/>
    <x v="0"/>
    <x v="100"/>
    <x v="2"/>
    <x v="101"/>
    <x v="3"/>
  </r>
  <r>
    <x v="102"/>
    <x v="102"/>
    <x v="102"/>
    <x v="5"/>
    <x v="1"/>
    <x v="30"/>
    <x v="9"/>
    <x v="9"/>
    <x v="1"/>
    <x v="2"/>
    <x v="0"/>
    <x v="101"/>
    <x v="1"/>
    <x v="102"/>
    <x v="3"/>
  </r>
  <r>
    <x v="103"/>
    <x v="103"/>
    <x v="103"/>
    <x v="17"/>
    <x v="1"/>
    <x v="24"/>
    <x v="3"/>
    <x v="3"/>
    <x v="3"/>
    <x v="8"/>
    <x v="3"/>
    <x v="102"/>
    <x v="0"/>
    <x v="103"/>
    <x v="0"/>
  </r>
  <r>
    <x v="104"/>
    <x v="104"/>
    <x v="104"/>
    <x v="18"/>
    <x v="1"/>
    <x v="23"/>
    <x v="6"/>
    <x v="6"/>
    <x v="3"/>
    <x v="14"/>
    <x v="4"/>
    <x v="103"/>
    <x v="0"/>
    <x v="104"/>
    <x v="0"/>
  </r>
  <r>
    <x v="105"/>
    <x v="105"/>
    <x v="105"/>
    <x v="13"/>
    <x v="0"/>
    <x v="20"/>
    <x v="1"/>
    <x v="1"/>
    <x v="2"/>
    <x v="4"/>
    <x v="0"/>
    <x v="104"/>
    <x v="2"/>
    <x v="105"/>
    <x v="3"/>
  </r>
  <r>
    <x v="106"/>
    <x v="106"/>
    <x v="106"/>
    <x v="5"/>
    <x v="1"/>
    <x v="0"/>
    <x v="1"/>
    <x v="1"/>
    <x v="2"/>
    <x v="15"/>
    <x v="3"/>
    <x v="44"/>
    <x v="3"/>
    <x v="106"/>
    <x v="1"/>
  </r>
  <r>
    <x v="107"/>
    <x v="107"/>
    <x v="107"/>
    <x v="2"/>
    <x v="1"/>
    <x v="9"/>
    <x v="0"/>
    <x v="0"/>
    <x v="2"/>
    <x v="15"/>
    <x v="3"/>
    <x v="105"/>
    <x v="4"/>
    <x v="107"/>
    <x v="0"/>
  </r>
  <r>
    <x v="108"/>
    <x v="108"/>
    <x v="108"/>
    <x v="19"/>
    <x v="0"/>
    <x v="23"/>
    <x v="9"/>
    <x v="9"/>
    <x v="2"/>
    <x v="10"/>
    <x v="1"/>
    <x v="106"/>
    <x v="1"/>
    <x v="108"/>
    <x v="0"/>
  </r>
  <r>
    <x v="109"/>
    <x v="109"/>
    <x v="109"/>
    <x v="19"/>
    <x v="0"/>
    <x v="21"/>
    <x v="6"/>
    <x v="6"/>
    <x v="2"/>
    <x v="4"/>
    <x v="0"/>
    <x v="107"/>
    <x v="0"/>
    <x v="109"/>
    <x v="2"/>
  </r>
  <r>
    <x v="110"/>
    <x v="110"/>
    <x v="110"/>
    <x v="0"/>
    <x v="0"/>
    <x v="9"/>
    <x v="0"/>
    <x v="0"/>
    <x v="3"/>
    <x v="14"/>
    <x v="1"/>
    <x v="108"/>
    <x v="0"/>
    <x v="110"/>
    <x v="0"/>
  </r>
  <r>
    <x v="111"/>
    <x v="111"/>
    <x v="111"/>
    <x v="8"/>
    <x v="1"/>
    <x v="24"/>
    <x v="6"/>
    <x v="6"/>
    <x v="1"/>
    <x v="9"/>
    <x v="1"/>
    <x v="109"/>
    <x v="2"/>
    <x v="111"/>
    <x v="1"/>
  </r>
  <r>
    <x v="112"/>
    <x v="112"/>
    <x v="112"/>
    <x v="1"/>
    <x v="0"/>
    <x v="11"/>
    <x v="7"/>
    <x v="7"/>
    <x v="2"/>
    <x v="10"/>
    <x v="1"/>
    <x v="110"/>
    <x v="4"/>
    <x v="112"/>
    <x v="0"/>
  </r>
  <r>
    <x v="113"/>
    <x v="113"/>
    <x v="113"/>
    <x v="14"/>
    <x v="1"/>
    <x v="19"/>
    <x v="9"/>
    <x v="9"/>
    <x v="0"/>
    <x v="17"/>
    <x v="2"/>
    <x v="111"/>
    <x v="1"/>
    <x v="113"/>
    <x v="0"/>
  </r>
  <r>
    <x v="114"/>
    <x v="114"/>
    <x v="114"/>
    <x v="4"/>
    <x v="1"/>
    <x v="21"/>
    <x v="8"/>
    <x v="8"/>
    <x v="2"/>
    <x v="5"/>
    <x v="4"/>
    <x v="112"/>
    <x v="4"/>
    <x v="114"/>
    <x v="3"/>
  </r>
  <r>
    <x v="115"/>
    <x v="115"/>
    <x v="115"/>
    <x v="0"/>
    <x v="0"/>
    <x v="19"/>
    <x v="9"/>
    <x v="9"/>
    <x v="3"/>
    <x v="13"/>
    <x v="3"/>
    <x v="113"/>
    <x v="1"/>
    <x v="115"/>
    <x v="0"/>
  </r>
  <r>
    <x v="116"/>
    <x v="116"/>
    <x v="116"/>
    <x v="19"/>
    <x v="0"/>
    <x v="15"/>
    <x v="3"/>
    <x v="3"/>
    <x v="1"/>
    <x v="9"/>
    <x v="1"/>
    <x v="114"/>
    <x v="4"/>
    <x v="116"/>
    <x v="0"/>
  </r>
  <r>
    <x v="117"/>
    <x v="117"/>
    <x v="117"/>
    <x v="17"/>
    <x v="1"/>
    <x v="9"/>
    <x v="5"/>
    <x v="5"/>
    <x v="3"/>
    <x v="13"/>
    <x v="1"/>
    <x v="115"/>
    <x v="0"/>
    <x v="117"/>
    <x v="0"/>
  </r>
  <r>
    <x v="118"/>
    <x v="118"/>
    <x v="118"/>
    <x v="2"/>
    <x v="1"/>
    <x v="18"/>
    <x v="8"/>
    <x v="8"/>
    <x v="0"/>
    <x v="17"/>
    <x v="0"/>
    <x v="116"/>
    <x v="4"/>
    <x v="118"/>
    <x v="1"/>
  </r>
  <r>
    <x v="119"/>
    <x v="119"/>
    <x v="119"/>
    <x v="9"/>
    <x v="1"/>
    <x v="15"/>
    <x v="2"/>
    <x v="2"/>
    <x v="2"/>
    <x v="5"/>
    <x v="4"/>
    <x v="117"/>
    <x v="3"/>
    <x v="119"/>
    <x v="1"/>
  </r>
  <r>
    <x v="120"/>
    <x v="120"/>
    <x v="120"/>
    <x v="6"/>
    <x v="0"/>
    <x v="9"/>
    <x v="8"/>
    <x v="8"/>
    <x v="2"/>
    <x v="5"/>
    <x v="3"/>
    <x v="118"/>
    <x v="2"/>
    <x v="120"/>
    <x v="0"/>
  </r>
  <r>
    <x v="121"/>
    <x v="121"/>
    <x v="121"/>
    <x v="11"/>
    <x v="1"/>
    <x v="16"/>
    <x v="8"/>
    <x v="8"/>
    <x v="3"/>
    <x v="7"/>
    <x v="1"/>
    <x v="119"/>
    <x v="4"/>
    <x v="121"/>
    <x v="0"/>
  </r>
  <r>
    <x v="122"/>
    <x v="122"/>
    <x v="122"/>
    <x v="4"/>
    <x v="1"/>
    <x v="30"/>
    <x v="5"/>
    <x v="5"/>
    <x v="2"/>
    <x v="15"/>
    <x v="2"/>
    <x v="120"/>
    <x v="3"/>
    <x v="122"/>
    <x v="3"/>
  </r>
  <r>
    <x v="123"/>
    <x v="123"/>
    <x v="123"/>
    <x v="8"/>
    <x v="1"/>
    <x v="3"/>
    <x v="8"/>
    <x v="8"/>
    <x v="0"/>
    <x v="0"/>
    <x v="3"/>
    <x v="121"/>
    <x v="0"/>
    <x v="123"/>
    <x v="2"/>
  </r>
  <r>
    <x v="124"/>
    <x v="124"/>
    <x v="124"/>
    <x v="11"/>
    <x v="1"/>
    <x v="30"/>
    <x v="8"/>
    <x v="8"/>
    <x v="2"/>
    <x v="5"/>
    <x v="3"/>
    <x v="122"/>
    <x v="0"/>
    <x v="124"/>
    <x v="0"/>
  </r>
  <r>
    <x v="125"/>
    <x v="125"/>
    <x v="125"/>
    <x v="15"/>
    <x v="0"/>
    <x v="11"/>
    <x v="4"/>
    <x v="4"/>
    <x v="0"/>
    <x v="17"/>
    <x v="1"/>
    <x v="123"/>
    <x v="0"/>
    <x v="125"/>
    <x v="0"/>
  </r>
  <r>
    <x v="126"/>
    <x v="126"/>
    <x v="126"/>
    <x v="10"/>
    <x v="0"/>
    <x v="29"/>
    <x v="6"/>
    <x v="6"/>
    <x v="0"/>
    <x v="12"/>
    <x v="2"/>
    <x v="124"/>
    <x v="2"/>
    <x v="126"/>
    <x v="0"/>
  </r>
  <r>
    <x v="127"/>
    <x v="127"/>
    <x v="127"/>
    <x v="18"/>
    <x v="1"/>
    <x v="6"/>
    <x v="6"/>
    <x v="6"/>
    <x v="0"/>
    <x v="12"/>
    <x v="0"/>
    <x v="125"/>
    <x v="0"/>
    <x v="127"/>
    <x v="0"/>
  </r>
  <r>
    <x v="128"/>
    <x v="128"/>
    <x v="128"/>
    <x v="17"/>
    <x v="1"/>
    <x v="22"/>
    <x v="7"/>
    <x v="7"/>
    <x v="0"/>
    <x v="16"/>
    <x v="1"/>
    <x v="126"/>
    <x v="1"/>
    <x v="128"/>
    <x v="1"/>
  </r>
  <r>
    <x v="129"/>
    <x v="129"/>
    <x v="129"/>
    <x v="5"/>
    <x v="1"/>
    <x v="26"/>
    <x v="0"/>
    <x v="0"/>
    <x v="3"/>
    <x v="14"/>
    <x v="1"/>
    <x v="127"/>
    <x v="0"/>
    <x v="129"/>
    <x v="2"/>
  </r>
  <r>
    <x v="130"/>
    <x v="130"/>
    <x v="130"/>
    <x v="19"/>
    <x v="0"/>
    <x v="18"/>
    <x v="9"/>
    <x v="9"/>
    <x v="0"/>
    <x v="16"/>
    <x v="4"/>
    <x v="128"/>
    <x v="1"/>
    <x v="130"/>
    <x v="3"/>
  </r>
  <r>
    <x v="131"/>
    <x v="131"/>
    <x v="131"/>
    <x v="17"/>
    <x v="1"/>
    <x v="16"/>
    <x v="6"/>
    <x v="6"/>
    <x v="3"/>
    <x v="13"/>
    <x v="1"/>
    <x v="129"/>
    <x v="4"/>
    <x v="131"/>
    <x v="1"/>
  </r>
  <r>
    <x v="132"/>
    <x v="132"/>
    <x v="132"/>
    <x v="11"/>
    <x v="1"/>
    <x v="26"/>
    <x v="1"/>
    <x v="1"/>
    <x v="0"/>
    <x v="16"/>
    <x v="4"/>
    <x v="130"/>
    <x v="0"/>
    <x v="132"/>
    <x v="0"/>
  </r>
  <r>
    <x v="133"/>
    <x v="133"/>
    <x v="133"/>
    <x v="0"/>
    <x v="0"/>
    <x v="20"/>
    <x v="4"/>
    <x v="4"/>
    <x v="0"/>
    <x v="0"/>
    <x v="3"/>
    <x v="131"/>
    <x v="3"/>
    <x v="133"/>
    <x v="0"/>
  </r>
  <r>
    <x v="134"/>
    <x v="134"/>
    <x v="134"/>
    <x v="15"/>
    <x v="0"/>
    <x v="17"/>
    <x v="0"/>
    <x v="0"/>
    <x v="3"/>
    <x v="7"/>
    <x v="2"/>
    <x v="132"/>
    <x v="2"/>
    <x v="134"/>
    <x v="2"/>
  </r>
  <r>
    <x v="135"/>
    <x v="135"/>
    <x v="135"/>
    <x v="16"/>
    <x v="0"/>
    <x v="1"/>
    <x v="5"/>
    <x v="5"/>
    <x v="2"/>
    <x v="15"/>
    <x v="0"/>
    <x v="133"/>
    <x v="2"/>
    <x v="135"/>
    <x v="3"/>
  </r>
  <r>
    <x v="136"/>
    <x v="136"/>
    <x v="136"/>
    <x v="7"/>
    <x v="0"/>
    <x v="19"/>
    <x v="9"/>
    <x v="9"/>
    <x v="3"/>
    <x v="11"/>
    <x v="0"/>
    <x v="134"/>
    <x v="3"/>
    <x v="136"/>
    <x v="0"/>
  </r>
  <r>
    <x v="137"/>
    <x v="137"/>
    <x v="137"/>
    <x v="6"/>
    <x v="0"/>
    <x v="26"/>
    <x v="6"/>
    <x v="6"/>
    <x v="0"/>
    <x v="12"/>
    <x v="4"/>
    <x v="135"/>
    <x v="0"/>
    <x v="137"/>
    <x v="1"/>
  </r>
  <r>
    <x v="138"/>
    <x v="138"/>
    <x v="138"/>
    <x v="4"/>
    <x v="1"/>
    <x v="23"/>
    <x v="2"/>
    <x v="2"/>
    <x v="2"/>
    <x v="4"/>
    <x v="3"/>
    <x v="136"/>
    <x v="1"/>
    <x v="138"/>
    <x v="3"/>
  </r>
  <r>
    <x v="139"/>
    <x v="139"/>
    <x v="139"/>
    <x v="8"/>
    <x v="1"/>
    <x v="6"/>
    <x v="9"/>
    <x v="9"/>
    <x v="3"/>
    <x v="11"/>
    <x v="3"/>
    <x v="137"/>
    <x v="3"/>
    <x v="139"/>
    <x v="2"/>
  </r>
  <r>
    <x v="140"/>
    <x v="140"/>
    <x v="140"/>
    <x v="2"/>
    <x v="1"/>
    <x v="12"/>
    <x v="8"/>
    <x v="8"/>
    <x v="0"/>
    <x v="16"/>
    <x v="4"/>
    <x v="138"/>
    <x v="3"/>
    <x v="140"/>
    <x v="3"/>
  </r>
  <r>
    <x v="141"/>
    <x v="141"/>
    <x v="141"/>
    <x v="7"/>
    <x v="0"/>
    <x v="16"/>
    <x v="3"/>
    <x v="3"/>
    <x v="0"/>
    <x v="16"/>
    <x v="4"/>
    <x v="139"/>
    <x v="1"/>
    <x v="141"/>
    <x v="3"/>
  </r>
  <r>
    <x v="142"/>
    <x v="142"/>
    <x v="142"/>
    <x v="18"/>
    <x v="1"/>
    <x v="29"/>
    <x v="8"/>
    <x v="8"/>
    <x v="2"/>
    <x v="5"/>
    <x v="3"/>
    <x v="140"/>
    <x v="3"/>
    <x v="142"/>
    <x v="1"/>
  </r>
  <r>
    <x v="143"/>
    <x v="143"/>
    <x v="143"/>
    <x v="8"/>
    <x v="1"/>
    <x v="26"/>
    <x v="8"/>
    <x v="8"/>
    <x v="2"/>
    <x v="15"/>
    <x v="1"/>
    <x v="141"/>
    <x v="4"/>
    <x v="143"/>
    <x v="2"/>
  </r>
  <r>
    <x v="144"/>
    <x v="144"/>
    <x v="144"/>
    <x v="9"/>
    <x v="1"/>
    <x v="30"/>
    <x v="9"/>
    <x v="9"/>
    <x v="2"/>
    <x v="15"/>
    <x v="4"/>
    <x v="142"/>
    <x v="1"/>
    <x v="144"/>
    <x v="2"/>
  </r>
  <r>
    <x v="145"/>
    <x v="145"/>
    <x v="145"/>
    <x v="0"/>
    <x v="0"/>
    <x v="21"/>
    <x v="8"/>
    <x v="8"/>
    <x v="1"/>
    <x v="1"/>
    <x v="4"/>
    <x v="143"/>
    <x v="0"/>
    <x v="145"/>
    <x v="2"/>
  </r>
  <r>
    <x v="146"/>
    <x v="146"/>
    <x v="146"/>
    <x v="15"/>
    <x v="0"/>
    <x v="23"/>
    <x v="2"/>
    <x v="2"/>
    <x v="0"/>
    <x v="17"/>
    <x v="0"/>
    <x v="144"/>
    <x v="2"/>
    <x v="146"/>
    <x v="1"/>
  </r>
  <r>
    <x v="147"/>
    <x v="147"/>
    <x v="147"/>
    <x v="0"/>
    <x v="0"/>
    <x v="10"/>
    <x v="1"/>
    <x v="1"/>
    <x v="0"/>
    <x v="16"/>
    <x v="4"/>
    <x v="145"/>
    <x v="2"/>
    <x v="147"/>
    <x v="1"/>
  </r>
  <r>
    <x v="148"/>
    <x v="148"/>
    <x v="148"/>
    <x v="8"/>
    <x v="1"/>
    <x v="14"/>
    <x v="6"/>
    <x v="6"/>
    <x v="2"/>
    <x v="10"/>
    <x v="3"/>
    <x v="146"/>
    <x v="1"/>
    <x v="148"/>
    <x v="0"/>
  </r>
  <r>
    <x v="149"/>
    <x v="149"/>
    <x v="149"/>
    <x v="17"/>
    <x v="1"/>
    <x v="14"/>
    <x v="0"/>
    <x v="0"/>
    <x v="3"/>
    <x v="8"/>
    <x v="0"/>
    <x v="147"/>
    <x v="3"/>
    <x v="149"/>
    <x v="1"/>
  </r>
  <r>
    <x v="150"/>
    <x v="150"/>
    <x v="150"/>
    <x v="20"/>
    <x v="2"/>
    <x v="31"/>
    <x v="10"/>
    <x v="10"/>
    <x v="4"/>
    <x v="18"/>
    <x v="5"/>
    <x v="148"/>
    <x v="5"/>
    <x v="15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6:B10" firstHeaderRow="1" firstDataRow="1" firstDataCol="1"/>
  <pivotFields count="15">
    <pivotField compact="0" showAll="0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compact="0" showAll="0"/>
    <pivotField compact="0" showAll="0"/>
    <pivotField axis="axisRow" compact="0" multipleItemSelectionAllowed="1" showAll="0">
      <items count="22">
        <item x="16"/>
        <item x="2"/>
        <item x="0"/>
        <item h="1" x="10"/>
        <item h="1" x="12"/>
        <item h="1" x="6"/>
        <item h="1" x="9"/>
        <item h="1" x="14"/>
        <item h="1" x="18"/>
        <item h="1" x="5"/>
        <item h="1" x="8"/>
        <item h="1" x="13"/>
        <item h="1" x="1"/>
        <item h="1" x="4"/>
        <item h="1" x="7"/>
        <item h="1" x="19"/>
        <item h="1" x="17"/>
        <item h="1" x="3"/>
        <item h="1" x="11"/>
        <item h="1" x="15"/>
        <item h="1" x="2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52">
        <item x="136"/>
        <item x="73"/>
        <item x="49"/>
        <item x="149"/>
        <item x="105"/>
        <item x="30"/>
        <item x="118"/>
        <item x="146"/>
        <item x="33"/>
        <item x="107"/>
        <item x="68"/>
        <item x="53"/>
        <item x="0"/>
        <item x="45"/>
        <item x="67"/>
        <item x="61"/>
        <item x="15"/>
        <item x="16"/>
        <item x="62"/>
        <item x="77"/>
        <item x="56"/>
        <item x="24"/>
        <item x="111"/>
        <item x="78"/>
        <item x="4"/>
        <item x="59"/>
        <item x="18"/>
        <item x="103"/>
        <item x="26"/>
        <item x="86"/>
        <item x="116"/>
        <item x="28"/>
        <item x="141"/>
        <item x="93"/>
        <item x="82"/>
        <item x="85"/>
        <item x="88"/>
        <item x="89"/>
        <item x="135"/>
        <item x="126"/>
        <item x="10"/>
        <item x="145"/>
        <item x="29"/>
        <item x="80"/>
        <item x="74"/>
        <item x="138"/>
        <item x="50"/>
        <item x="104"/>
        <item x="110"/>
        <item x="22"/>
        <item x="102"/>
        <item x="60"/>
        <item x="47"/>
        <item x="109"/>
        <item x="84"/>
        <item x="124"/>
        <item x="127"/>
        <item x="46"/>
        <item x="52"/>
        <item x="101"/>
        <item x="43"/>
        <item x="132"/>
        <item x="112"/>
        <item x="44"/>
        <item x="129"/>
        <item x="97"/>
        <item x="37"/>
        <item x="58"/>
        <item x="140"/>
        <item x="120"/>
        <item x="123"/>
        <item x="17"/>
        <item x="115"/>
        <item x="65"/>
        <item x="142"/>
        <item x="121"/>
        <item x="5"/>
        <item x="72"/>
        <item x="148"/>
        <item x="1"/>
        <item x="27"/>
        <item x="20"/>
        <item x="34"/>
        <item x="48"/>
        <item x="6"/>
        <item x="70"/>
        <item x="64"/>
        <item x="113"/>
        <item x="131"/>
        <item x="35"/>
        <item x="143"/>
        <item x="42"/>
        <item x="87"/>
        <item x="57"/>
        <item x="75"/>
        <item x="36"/>
        <item x="79"/>
        <item x="133"/>
        <item x="106"/>
        <item x="139"/>
        <item x="23"/>
        <item x="9"/>
        <item x="55"/>
        <item x="114"/>
        <item x="122"/>
        <item x="8"/>
        <item x="7"/>
        <item x="69"/>
        <item x="130"/>
        <item x="108"/>
        <item x="21"/>
        <item x="41"/>
        <item x="2"/>
        <item x="14"/>
        <item x="25"/>
        <item x="125"/>
        <item x="98"/>
        <item x="3"/>
        <item x="19"/>
        <item x="134"/>
        <item x="99"/>
        <item x="39"/>
        <item x="128"/>
        <item x="83"/>
        <item x="117"/>
        <item x="81"/>
        <item x="90"/>
        <item x="12"/>
        <item x="76"/>
        <item x="38"/>
        <item x="92"/>
        <item x="13"/>
        <item x="119"/>
        <item x="31"/>
        <item x="94"/>
        <item x="95"/>
        <item x="147"/>
        <item x="91"/>
        <item x="96"/>
        <item x="63"/>
        <item x="54"/>
        <item x="100"/>
        <item x="32"/>
        <item x="40"/>
        <item x="71"/>
        <item x="11"/>
        <item x="144"/>
        <item x="51"/>
        <item x="66"/>
        <item x="137"/>
        <item x="150"/>
        <item t="default"/>
      </items>
    </pivotField>
    <pivotField compact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Amount" fld="13" baseField="0" baseItem="0"/>
  </dataFields>
  <formats count="13">
    <format dxfId="0">
      <pivotArea field="3" type="button" dataOnly="0" labelOnly="1" outline="0" fieldPosition="0"/>
    </format>
    <format dxfId="1">
      <pivotArea dataOnly="0" labelOnly="1" fieldPosition="0">
        <references count="1">
          <reference field="3" count="1">
            <x v="0"/>
          </reference>
        </references>
      </pivotArea>
    </format>
    <format dxfId="2">
      <pivotArea type="all" dataOnly="0" outline="0" fieldPosition="0"/>
    </format>
    <format dxfId="3">
      <pivotArea type="all" dataOnly="0" outline="0" fieldPosition="0"/>
    </format>
    <format dxfId="4">
      <pivotArea field="3" type="button" dataOnly="0" labelOnly="1" outline="0" fieldPosition="0"/>
    </format>
    <format dxfId="5">
      <pivotArea dataOnly="0" labelOnly="1" grandRow="1" fieldPosition="0"/>
    </format>
    <format dxfId="6">
      <pivotArea grandRow="1" collapsedLevelsAreSubtotals="1" fieldPosition="0"/>
    </format>
    <format dxfId="7">
      <pivotArea dataOnly="0" labelOnly="1" fieldPosition="0">
        <references count="1">
          <reference field="3" count="1">
            <x v="0"/>
          </reference>
        </references>
      </pivotArea>
    </format>
    <format dxfId="8">
      <pivotArea dataOnly="0" labelOnly="1" fieldPosition="0">
        <references count="1">
          <reference field="3" count="1">
            <x v="1"/>
          </reference>
        </references>
      </pivotArea>
    </format>
    <format dxfId="9">
      <pivotArea dataOnly="0" labelOnly="1" fieldPosition="0">
        <references count="1">
          <reference field="3" count="1">
            <x v="2"/>
          </reference>
        </references>
      </pivotArea>
    </format>
    <format dxfId="10">
      <pivotArea collapsedLevelsAreSubtotals="1" fieldPosition="0">
        <references count="1">
          <reference field="3" count="1" selected="0">
            <x v="0"/>
          </reference>
        </references>
      </pivotArea>
    </format>
    <format dxfId="11">
      <pivotArea collapsedLevelsAreSubtotals="1" fieldPosition="0">
        <references count="1">
          <reference field="3" count="1" selected="0">
            <x v="1"/>
          </reference>
        </references>
      </pivotArea>
    </format>
    <format dxfId="12">
      <pivotArea collapsedLevelsAreSubtotals="1" fieldPosition="0">
        <references count="1">
          <reference field="3" count="1" selected="0">
            <x v="2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9:B38" firstHeaderRow="1" firstDataRow="1" firstDataCol="1"/>
  <pivotFields count="15">
    <pivotField compact="0" showAll="0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20">
        <item x="14"/>
        <item x="17"/>
        <item x="10"/>
        <item x="2"/>
        <item x="13"/>
        <item x="3"/>
        <item x="6"/>
        <item x="9"/>
        <item x="0"/>
        <item x="7"/>
        <item x="4"/>
        <item x="11"/>
        <item x="16"/>
        <item x="8"/>
        <item x="12"/>
        <item x="15"/>
        <item x="1"/>
        <item x="5"/>
        <item h="1" x="18"/>
        <item t="default"/>
      </items>
    </pivotField>
    <pivotField compact="0" showAll="0"/>
    <pivotField dataField="1" compact="0" showAll="0">
      <items count="150">
        <item x="30"/>
        <item x="73"/>
        <item x="134"/>
        <item x="33"/>
        <item x="49"/>
        <item x="61"/>
        <item x="104"/>
        <item x="147"/>
        <item x="62"/>
        <item x="139"/>
        <item x="93"/>
        <item x="105"/>
        <item x="68"/>
        <item x="15"/>
        <item x="144"/>
        <item x="143"/>
        <item x="109"/>
        <item x="88"/>
        <item x="116"/>
        <item x="45"/>
        <item x="103"/>
        <item x="26"/>
        <item x="124"/>
        <item x="84"/>
        <item x="56"/>
        <item x="130"/>
        <item x="114"/>
        <item x="16"/>
        <item x="4"/>
        <item x="85"/>
        <item x="53"/>
        <item x="102"/>
        <item x="138"/>
        <item x="0"/>
        <item x="47"/>
        <item x="29"/>
        <item x="108"/>
        <item x="74"/>
        <item x="5"/>
        <item x="20"/>
        <item x="67"/>
        <item x="127"/>
        <item x="22"/>
        <item x="48"/>
        <item x="72"/>
        <item x="57"/>
        <item x="111"/>
        <item x="65"/>
        <item x="136"/>
        <item x="37"/>
        <item x="110"/>
        <item x="35"/>
        <item x="77"/>
        <item x="42"/>
        <item x="55"/>
        <item x="78"/>
        <item x="24"/>
        <item x="128"/>
        <item x="64"/>
        <item x="122"/>
        <item x="7"/>
        <item x="50"/>
        <item x="59"/>
        <item x="18"/>
        <item x="1"/>
        <item x="6"/>
        <item x="17"/>
        <item x="34"/>
        <item x="112"/>
        <item x="41"/>
        <item x="119"/>
        <item x="58"/>
        <item x="9"/>
        <item x="113"/>
        <item x="86"/>
        <item x="121"/>
        <item x="28"/>
        <item x="89"/>
        <item x="70"/>
        <item x="97"/>
        <item x="118"/>
        <item x="82"/>
        <item x="120"/>
        <item x="8"/>
        <item x="3"/>
        <item x="129"/>
        <item x="133"/>
        <item x="141"/>
        <item x="39"/>
        <item x="146"/>
        <item x="36"/>
        <item x="27"/>
        <item x="140"/>
        <item x="106"/>
        <item x="132"/>
        <item x="92"/>
        <item x="14"/>
        <item x="2"/>
        <item x="95"/>
        <item x="21"/>
        <item x="25"/>
        <item x="101"/>
        <item x="60"/>
        <item x="90"/>
        <item x="10"/>
        <item x="63"/>
        <item x="117"/>
        <item x="80"/>
        <item x="145"/>
        <item x="83"/>
        <item x="13"/>
        <item x="12"/>
        <item x="123"/>
        <item x="107"/>
        <item x="87"/>
        <item x="31"/>
        <item x="32"/>
        <item x="40"/>
        <item x="125"/>
        <item x="69"/>
        <item x="46"/>
        <item x="71"/>
        <item x="96"/>
        <item x="99"/>
        <item x="142"/>
        <item x="75"/>
        <item x="51"/>
        <item x="126"/>
        <item x="94"/>
        <item x="91"/>
        <item x="79"/>
        <item x="54"/>
        <item x="100"/>
        <item x="19"/>
        <item x="115"/>
        <item x="11"/>
        <item x="23"/>
        <item x="66"/>
        <item x="43"/>
        <item x="131"/>
        <item x="38"/>
        <item x="52"/>
        <item x="76"/>
        <item x="81"/>
        <item x="44"/>
        <item x="98"/>
        <item x="137"/>
        <item x="135"/>
        <item x="148"/>
        <item t="default"/>
      </items>
    </pivotField>
    <pivotField compact="0" showAll="0"/>
    <pivotField compact="0" showAll="0"/>
    <pivotField compact="0" showAll="0"/>
  </pivotFields>
  <rowFields count="1">
    <field x="9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Unit Price" fld="11" baseField="0" baseItem="0"/>
  </dataFields>
  <formats count="23">
    <format dxfId="13">
      <pivotArea type="all" dataOnly="0" outline="0" fieldPosition="0"/>
    </format>
    <format dxfId="14">
      <pivotArea type="all" dataOnly="0" outline="0" fieldPosition="0"/>
    </format>
    <format dxfId="15">
      <pivotArea field="9" type="button" dataOnly="0" labelOnly="1" outline="0" fieldPosition="0"/>
    </format>
    <format dxfId="16">
      <pivotArea dataOnly="0" labelOnly="1" fieldPosition="0">
        <references count="1">
          <reference field="9" count="1">
            <x v="0"/>
          </reference>
        </references>
      </pivotArea>
    </format>
    <format dxfId="17">
      <pivotArea dataOnly="0" labelOnly="1" fieldPosition="0">
        <references count="1">
          <reference field="9" count="1">
            <x v="1"/>
          </reference>
        </references>
      </pivotArea>
    </format>
    <format dxfId="18">
      <pivotArea dataOnly="0" labelOnly="1" fieldPosition="0">
        <references count="1">
          <reference field="9" count="1">
            <x v="2"/>
          </reference>
        </references>
      </pivotArea>
    </format>
    <format dxfId="19">
      <pivotArea dataOnly="0" labelOnly="1" fieldPosition="0">
        <references count="1">
          <reference field="9" count="1">
            <x v="3"/>
          </reference>
        </references>
      </pivotArea>
    </format>
    <format dxfId="20">
      <pivotArea dataOnly="0" labelOnly="1" fieldPosition="0">
        <references count="1">
          <reference field="9" count="1">
            <x v="4"/>
          </reference>
        </references>
      </pivotArea>
    </format>
    <format dxfId="21">
      <pivotArea dataOnly="0" labelOnly="1" fieldPosition="0">
        <references count="1">
          <reference field="9" count="1">
            <x v="5"/>
          </reference>
        </references>
      </pivotArea>
    </format>
    <format dxfId="22">
      <pivotArea dataOnly="0" labelOnly="1" fieldPosition="0">
        <references count="1">
          <reference field="9" count="1">
            <x v="6"/>
          </reference>
        </references>
      </pivotArea>
    </format>
    <format dxfId="23">
      <pivotArea dataOnly="0" labelOnly="1" fieldPosition="0">
        <references count="1">
          <reference field="9" count="1">
            <x v="7"/>
          </reference>
        </references>
      </pivotArea>
    </format>
    <format dxfId="24">
      <pivotArea dataOnly="0" labelOnly="1" fieldPosition="0">
        <references count="1">
          <reference field="9" count="1">
            <x v="8"/>
          </reference>
        </references>
      </pivotArea>
    </format>
    <format dxfId="25">
      <pivotArea dataOnly="0" labelOnly="1" fieldPosition="0">
        <references count="1">
          <reference field="9" count="1">
            <x v="9"/>
          </reference>
        </references>
      </pivotArea>
    </format>
    <format dxfId="26">
      <pivotArea dataOnly="0" labelOnly="1" fieldPosition="0">
        <references count="1">
          <reference field="9" count="1">
            <x v="10"/>
          </reference>
        </references>
      </pivotArea>
    </format>
    <format dxfId="27">
      <pivotArea dataOnly="0" labelOnly="1" fieldPosition="0">
        <references count="1">
          <reference field="9" count="1">
            <x v="11"/>
          </reference>
        </references>
      </pivotArea>
    </format>
    <format dxfId="28">
      <pivotArea dataOnly="0" labelOnly="1" fieldPosition="0">
        <references count="1">
          <reference field="9" count="1">
            <x v="12"/>
          </reference>
        </references>
      </pivotArea>
    </format>
    <format dxfId="29">
      <pivotArea dataOnly="0" labelOnly="1" fieldPosition="0">
        <references count="1">
          <reference field="9" count="1">
            <x v="13"/>
          </reference>
        </references>
      </pivotArea>
    </format>
    <format dxfId="30">
      <pivotArea dataOnly="0" labelOnly="1" fieldPosition="0">
        <references count="1">
          <reference field="9" count="1">
            <x v="14"/>
          </reference>
        </references>
      </pivotArea>
    </format>
    <format dxfId="31">
      <pivotArea dataOnly="0" labelOnly="1" fieldPosition="0">
        <references count="1">
          <reference field="9" count="1">
            <x v="15"/>
          </reference>
        </references>
      </pivotArea>
    </format>
    <format dxfId="32">
      <pivotArea dataOnly="0" labelOnly="1" fieldPosition="0">
        <references count="1">
          <reference field="9" count="1">
            <x v="16"/>
          </reference>
        </references>
      </pivotArea>
    </format>
    <format dxfId="33">
      <pivotArea dataOnly="0" labelOnly="1" fieldPosition="0">
        <references count="1">
          <reference field="9" count="1">
            <x v="17"/>
          </reference>
        </references>
      </pivotArea>
    </format>
    <format dxfId="34">
      <pivotArea dataOnly="0" labelOnly="1" grandRow="1" fieldPosition="0"/>
    </format>
    <format dxfId="35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O151" totalsRowShown="0">
  <autoFilter xmlns:etc="http://www.wps.cn/officeDocument/2017/etCustomData" ref="A1:O151" etc:filterBottomFollowUsedRange="0"/>
  <tableColumns count="15">
    <tableColumn id="1" name="Order ID"/>
    <tableColumn id="2" name="Order Date"/>
    <tableColumn id="3" name="Customer ID"/>
    <tableColumn id="4" name="Customer Name"/>
    <tableColumn id="5" name="Gender"/>
    <tableColumn id="6" name="Age"/>
    <tableColumn id="7" name="City"/>
    <tableColumn id="8" name="State"/>
    <tableColumn id="9" name="Product Category"/>
    <tableColumn id="10" name="Product Name"/>
    <tableColumn id="11" name="Quantity"/>
    <tableColumn id="12" name="Unit Price"/>
    <tableColumn id="13" name="Discount (%)"/>
    <tableColumn id="14" name="Sales Amount"/>
    <tableColumn id="15" name="Payment Mod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1_3" displayName="Table1_3" ref="A1:O151" totalsRowShown="0">
  <autoFilter xmlns:etc="http://www.wps.cn/officeDocument/2017/etCustomData" ref="A1:O151" etc:filterBottomFollowUsedRange="0"/>
  <tableColumns count="15">
    <tableColumn id="1" name="Order ID"/>
    <tableColumn id="2" name="Order Date" dataDxfId="36"/>
    <tableColumn id="3" name="Customer ID"/>
    <tableColumn id="4" name="Customer Name"/>
    <tableColumn id="5" name="Gender"/>
    <tableColumn id="6" name="Age"/>
    <tableColumn id="7" name="City"/>
    <tableColumn id="8" name="State"/>
    <tableColumn id="9" name="Product Category"/>
    <tableColumn id="10" name="Product Name"/>
    <tableColumn id="11" name="Quantity"/>
    <tableColumn id="12" name="Unit Price"/>
    <tableColumn id="13" name="Discount (%)"/>
    <tableColumn id="14" name="Sales Amount"/>
    <tableColumn id="15" name="Payment Mod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7" name="Table1_8" displayName="Table1_8" ref="A1:O151" totalsRowShown="0">
  <autoFilter xmlns:etc="http://www.wps.cn/officeDocument/2017/etCustomData" ref="A1:O151" etc:filterBottomFollowUsedRange="0"/>
  <tableColumns count="15">
    <tableColumn id="1" name="Order ID"/>
    <tableColumn id="2" name="Order Date"/>
    <tableColumn id="3" name="Customer ID"/>
    <tableColumn id="4" name="Customer Name"/>
    <tableColumn id="5" name="Gender"/>
    <tableColumn id="6" name="Age"/>
    <tableColumn id="7" name="City"/>
    <tableColumn id="8" name="State"/>
    <tableColumn id="9" name="Product Category"/>
    <tableColumn id="10" name="Product Name"/>
    <tableColumn id="11" name="Quantity"/>
    <tableColumn id="12" name="Unit Price"/>
    <tableColumn id="13" name="Discount (%)"/>
    <tableColumn id="14" name="Sales Amount"/>
    <tableColumn id="15" name="Payment Mod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5" name="Table1_36" displayName="Table1_36" ref="A1:O151" totalsRowShown="0">
  <autoFilter xmlns:etc="http://www.wps.cn/officeDocument/2017/etCustomData" ref="A1:O151" etc:filterBottomFollowUsedRange="0"/>
  <sortState ref="A1:O151">
    <sortCondition ref="N2" descending="1"/>
  </sortState>
  <tableColumns count="15">
    <tableColumn id="1" name="Order ID"/>
    <tableColumn id="2" name="Order Date"/>
    <tableColumn id="3" name="Customer ID"/>
    <tableColumn id="4" name="Customer Name"/>
    <tableColumn id="5" name="Gender"/>
    <tableColumn id="6" name="Age"/>
    <tableColumn id="7" name="City"/>
    <tableColumn id="8" name="State"/>
    <tableColumn id="9" name="Product Category"/>
    <tableColumn id="10" name="Product Name"/>
    <tableColumn id="11" name="Quantity"/>
    <tableColumn id="12" name="Unit Price"/>
    <tableColumn id="13" name="Discount (%)"/>
    <tableColumn id="14" name="Sales Amount"/>
    <tableColumn id="15" name="Payment M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1"/>
  <sheetViews>
    <sheetView workbookViewId="0">
      <selection activeCell="B15" sqref="A2:O151"/>
    </sheetView>
  </sheetViews>
  <sheetFormatPr defaultColWidth="9" defaultRowHeight="15"/>
  <cols>
    <col min="1" max="1" width="9.57142857142857" customWidth="1"/>
    <col min="2" max="2" width="11.4285714285714" customWidth="1"/>
    <col min="3" max="3" width="12.7142857142857" customWidth="1"/>
    <col min="4" max="4" width="16.5714285714286" customWidth="1"/>
    <col min="5" max="5" width="8.28571428571429" customWidth="1"/>
    <col min="6" max="6" width="5" customWidth="1"/>
    <col min="7" max="7" width="12.5714285714286" customWidth="1"/>
    <col min="8" max="8" width="16.8571428571429" customWidth="1"/>
    <col min="9" max="9" width="17.5714285714286" customWidth="1"/>
    <col min="10" max="10" width="19" customWidth="1"/>
    <col min="11" max="11" width="9.28571428571429" customWidth="1"/>
    <col min="12" max="12" width="10.2857142857143" customWidth="1"/>
    <col min="13" max="13" width="13" customWidth="1"/>
    <col min="14" max="14" width="14.1428571428571" customWidth="1"/>
    <col min="15" max="15" width="15.7142857142857" customWidth="1"/>
  </cols>
  <sheetData>
    <row r="1" ht="15.75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7" t="s">
        <v>15</v>
      </c>
      <c r="B2" s="19" t="s">
        <v>16</v>
      </c>
      <c r="C2" s="19" t="s">
        <v>17</v>
      </c>
      <c r="D2" s="19" t="s">
        <v>18</v>
      </c>
      <c r="E2" s="19" t="s">
        <v>19</v>
      </c>
      <c r="F2" s="19">
        <v>35</v>
      </c>
      <c r="G2" s="19" t="s">
        <v>20</v>
      </c>
      <c r="H2" s="19" t="s">
        <v>20</v>
      </c>
      <c r="I2" s="19" t="s">
        <v>21</v>
      </c>
      <c r="J2" s="19" t="s">
        <v>22</v>
      </c>
      <c r="K2" s="19">
        <v>1</v>
      </c>
      <c r="L2" s="19">
        <v>1760</v>
      </c>
      <c r="M2" s="19">
        <v>5</v>
      </c>
      <c r="N2" s="19">
        <v>1672</v>
      </c>
      <c r="O2" s="21" t="s">
        <v>23</v>
      </c>
    </row>
    <row r="3" spans="1:15">
      <c r="A3" s="20" t="s">
        <v>24</v>
      </c>
      <c r="B3" t="s">
        <v>25</v>
      </c>
      <c r="C3" t="s">
        <v>26</v>
      </c>
      <c r="D3" t="s">
        <v>27</v>
      </c>
      <c r="E3" t="s">
        <v>19</v>
      </c>
      <c r="F3">
        <v>23</v>
      </c>
      <c r="G3" t="s">
        <v>28</v>
      </c>
      <c r="H3" t="s">
        <v>29</v>
      </c>
      <c r="I3" t="s">
        <v>30</v>
      </c>
      <c r="J3" t="s">
        <v>31</v>
      </c>
      <c r="K3">
        <v>3</v>
      </c>
      <c r="L3">
        <v>3380</v>
      </c>
      <c r="M3">
        <v>5</v>
      </c>
      <c r="N3">
        <v>9633</v>
      </c>
      <c r="O3" s="22" t="s">
        <v>32</v>
      </c>
    </row>
    <row r="4" spans="1:15">
      <c r="A4" s="20" t="s">
        <v>33</v>
      </c>
      <c r="B4" t="s">
        <v>34</v>
      </c>
      <c r="C4" t="s">
        <v>35</v>
      </c>
      <c r="D4" t="s">
        <v>36</v>
      </c>
      <c r="E4" t="s">
        <v>37</v>
      </c>
      <c r="F4">
        <v>25</v>
      </c>
      <c r="G4" t="s">
        <v>38</v>
      </c>
      <c r="H4" t="s">
        <v>39</v>
      </c>
      <c r="I4" t="s">
        <v>30</v>
      </c>
      <c r="J4" t="s">
        <v>31</v>
      </c>
      <c r="K4">
        <v>3</v>
      </c>
      <c r="L4">
        <v>5589</v>
      </c>
      <c r="M4">
        <v>0</v>
      </c>
      <c r="N4">
        <v>16767</v>
      </c>
      <c r="O4" s="22" t="s">
        <v>32</v>
      </c>
    </row>
    <row r="5" spans="1:15">
      <c r="A5" s="20" t="s">
        <v>40</v>
      </c>
      <c r="B5" t="s">
        <v>41</v>
      </c>
      <c r="C5" t="s">
        <v>42</v>
      </c>
      <c r="D5" t="s">
        <v>27</v>
      </c>
      <c r="E5" t="s">
        <v>19</v>
      </c>
      <c r="F5">
        <v>20</v>
      </c>
      <c r="G5" t="s">
        <v>43</v>
      </c>
      <c r="H5" t="s">
        <v>44</v>
      </c>
      <c r="I5" t="s">
        <v>30</v>
      </c>
      <c r="J5" t="s">
        <v>45</v>
      </c>
      <c r="K5">
        <v>4</v>
      </c>
      <c r="L5">
        <v>4631</v>
      </c>
      <c r="M5">
        <v>0</v>
      </c>
      <c r="N5">
        <v>18524</v>
      </c>
      <c r="O5" s="22" t="s">
        <v>32</v>
      </c>
    </row>
    <row r="6" spans="1:15">
      <c r="A6" s="20" t="s">
        <v>46</v>
      </c>
      <c r="B6" t="s">
        <v>47</v>
      </c>
      <c r="C6" t="s">
        <v>48</v>
      </c>
      <c r="D6" t="s">
        <v>49</v>
      </c>
      <c r="E6" t="s">
        <v>19</v>
      </c>
      <c r="F6">
        <v>43</v>
      </c>
      <c r="G6" t="s">
        <v>50</v>
      </c>
      <c r="H6" t="s">
        <v>51</v>
      </c>
      <c r="I6" t="s">
        <v>30</v>
      </c>
      <c r="J6" t="s">
        <v>52</v>
      </c>
      <c r="K6">
        <v>2</v>
      </c>
      <c r="L6">
        <v>1498</v>
      </c>
      <c r="M6">
        <v>0</v>
      </c>
      <c r="N6">
        <v>2996</v>
      </c>
      <c r="O6" s="22" t="s">
        <v>32</v>
      </c>
    </row>
    <row r="7" spans="1:15">
      <c r="A7" s="20" t="s">
        <v>53</v>
      </c>
      <c r="B7" t="s">
        <v>54</v>
      </c>
      <c r="C7" t="s">
        <v>55</v>
      </c>
      <c r="D7" t="s">
        <v>56</v>
      </c>
      <c r="E7" t="s">
        <v>37</v>
      </c>
      <c r="F7">
        <v>20</v>
      </c>
      <c r="G7" t="s">
        <v>57</v>
      </c>
      <c r="H7" t="s">
        <v>58</v>
      </c>
      <c r="I7" t="s">
        <v>59</v>
      </c>
      <c r="J7" t="s">
        <v>60</v>
      </c>
      <c r="K7">
        <v>5</v>
      </c>
      <c r="L7">
        <v>2058</v>
      </c>
      <c r="M7">
        <v>10</v>
      </c>
      <c r="N7">
        <v>9261</v>
      </c>
      <c r="O7" s="22" t="s">
        <v>61</v>
      </c>
    </row>
    <row r="8" spans="1:15">
      <c r="A8" s="20" t="s">
        <v>62</v>
      </c>
      <c r="B8" t="s">
        <v>63</v>
      </c>
      <c r="C8" t="s">
        <v>64</v>
      </c>
      <c r="D8" t="s">
        <v>36</v>
      </c>
      <c r="E8" t="s">
        <v>37</v>
      </c>
      <c r="F8">
        <v>20</v>
      </c>
      <c r="G8" t="s">
        <v>38</v>
      </c>
      <c r="H8" t="s">
        <v>39</v>
      </c>
      <c r="I8" t="s">
        <v>30</v>
      </c>
      <c r="J8" t="s">
        <v>52</v>
      </c>
      <c r="K8">
        <v>3</v>
      </c>
      <c r="L8">
        <v>3392</v>
      </c>
      <c r="M8">
        <v>0</v>
      </c>
      <c r="N8">
        <v>10176</v>
      </c>
      <c r="O8" s="22" t="s">
        <v>65</v>
      </c>
    </row>
    <row r="9" spans="1:15">
      <c r="A9" s="20" t="s">
        <v>66</v>
      </c>
      <c r="B9" t="s">
        <v>67</v>
      </c>
      <c r="C9" t="s">
        <v>68</v>
      </c>
      <c r="D9" t="s">
        <v>69</v>
      </c>
      <c r="E9" t="s">
        <v>37</v>
      </c>
      <c r="F9">
        <v>31</v>
      </c>
      <c r="G9" t="s">
        <v>70</v>
      </c>
      <c r="H9" t="s">
        <v>70</v>
      </c>
      <c r="I9" t="s">
        <v>59</v>
      </c>
      <c r="J9" t="s">
        <v>71</v>
      </c>
      <c r="K9">
        <v>5</v>
      </c>
      <c r="L9">
        <v>3267</v>
      </c>
      <c r="M9">
        <v>5</v>
      </c>
      <c r="N9">
        <v>15518.25</v>
      </c>
      <c r="O9" s="22" t="s">
        <v>32</v>
      </c>
    </row>
    <row r="10" spans="1:15">
      <c r="A10" s="20" t="s">
        <v>72</v>
      </c>
      <c r="B10" t="s">
        <v>73</v>
      </c>
      <c r="C10" t="s">
        <v>74</v>
      </c>
      <c r="D10" t="s">
        <v>75</v>
      </c>
      <c r="E10" t="s">
        <v>19</v>
      </c>
      <c r="F10">
        <v>48</v>
      </c>
      <c r="G10" t="s">
        <v>70</v>
      </c>
      <c r="H10" t="s">
        <v>70</v>
      </c>
      <c r="I10" t="s">
        <v>30</v>
      </c>
      <c r="J10" t="s">
        <v>76</v>
      </c>
      <c r="K10">
        <v>4</v>
      </c>
      <c r="L10">
        <v>4493</v>
      </c>
      <c r="M10">
        <v>15</v>
      </c>
      <c r="N10">
        <v>15276.2</v>
      </c>
      <c r="O10" s="22" t="s">
        <v>23</v>
      </c>
    </row>
    <row r="11" spans="1:15">
      <c r="A11" s="20" t="s">
        <v>77</v>
      </c>
      <c r="B11" t="s">
        <v>78</v>
      </c>
      <c r="C11" t="s">
        <v>79</v>
      </c>
      <c r="D11" t="s">
        <v>80</v>
      </c>
      <c r="E11" t="s">
        <v>19</v>
      </c>
      <c r="F11">
        <v>37</v>
      </c>
      <c r="G11" t="s">
        <v>81</v>
      </c>
      <c r="H11" t="s">
        <v>82</v>
      </c>
      <c r="I11" t="s">
        <v>83</v>
      </c>
      <c r="J11" t="s">
        <v>84</v>
      </c>
      <c r="K11">
        <v>4</v>
      </c>
      <c r="L11">
        <v>4100</v>
      </c>
      <c r="M11">
        <v>15</v>
      </c>
      <c r="N11">
        <v>13940</v>
      </c>
      <c r="O11" s="22" t="s">
        <v>32</v>
      </c>
    </row>
    <row r="12" spans="1:15">
      <c r="A12" s="20" t="s">
        <v>85</v>
      </c>
      <c r="B12" t="s">
        <v>86</v>
      </c>
      <c r="C12" t="s">
        <v>87</v>
      </c>
      <c r="D12" t="s">
        <v>27</v>
      </c>
      <c r="E12" t="s">
        <v>19</v>
      </c>
      <c r="F12">
        <v>22</v>
      </c>
      <c r="G12" t="s">
        <v>43</v>
      </c>
      <c r="H12" t="s">
        <v>44</v>
      </c>
      <c r="I12" t="s">
        <v>30</v>
      </c>
      <c r="J12" t="s">
        <v>52</v>
      </c>
      <c r="K12">
        <v>1</v>
      </c>
      <c r="L12">
        <v>5984</v>
      </c>
      <c r="M12">
        <v>20</v>
      </c>
      <c r="N12">
        <v>4787.2</v>
      </c>
      <c r="O12" s="22" t="s">
        <v>65</v>
      </c>
    </row>
    <row r="13" spans="1:15">
      <c r="A13" s="20" t="s">
        <v>88</v>
      </c>
      <c r="B13" t="s">
        <v>89</v>
      </c>
      <c r="C13" t="s">
        <v>90</v>
      </c>
      <c r="D13" t="s">
        <v>91</v>
      </c>
      <c r="E13" t="s">
        <v>37</v>
      </c>
      <c r="F13">
        <v>44</v>
      </c>
      <c r="G13" t="s">
        <v>81</v>
      </c>
      <c r="H13" t="s">
        <v>82</v>
      </c>
      <c r="I13" t="s">
        <v>83</v>
      </c>
      <c r="J13" t="s">
        <v>92</v>
      </c>
      <c r="K13">
        <v>5</v>
      </c>
      <c r="L13">
        <v>7377</v>
      </c>
      <c r="M13">
        <v>10</v>
      </c>
      <c r="N13">
        <v>33196.5</v>
      </c>
      <c r="O13" s="22" t="s">
        <v>23</v>
      </c>
    </row>
    <row r="14" spans="1:15">
      <c r="A14" s="20" t="s">
        <v>93</v>
      </c>
      <c r="B14" t="s">
        <v>94</v>
      </c>
      <c r="C14" t="s">
        <v>95</v>
      </c>
      <c r="D14" t="s">
        <v>18</v>
      </c>
      <c r="E14" t="s">
        <v>19</v>
      </c>
      <c r="F14">
        <v>44</v>
      </c>
      <c r="G14" t="s">
        <v>28</v>
      </c>
      <c r="H14" t="s">
        <v>29</v>
      </c>
      <c r="I14" t="s">
        <v>30</v>
      </c>
      <c r="J14" t="s">
        <v>96</v>
      </c>
      <c r="K14">
        <v>4</v>
      </c>
      <c r="L14">
        <v>6272</v>
      </c>
      <c r="M14">
        <v>10</v>
      </c>
      <c r="N14">
        <v>22579.2</v>
      </c>
      <c r="O14" s="22" t="s">
        <v>65</v>
      </c>
    </row>
    <row r="15" spans="1:15">
      <c r="A15" s="20" t="s">
        <v>97</v>
      </c>
      <c r="B15" t="s">
        <v>98</v>
      </c>
      <c r="C15" t="s">
        <v>99</v>
      </c>
      <c r="D15" t="s">
        <v>69</v>
      </c>
      <c r="E15" t="s">
        <v>37</v>
      </c>
      <c r="F15">
        <v>28</v>
      </c>
      <c r="G15" t="s">
        <v>100</v>
      </c>
      <c r="H15" t="s">
        <v>101</v>
      </c>
      <c r="I15" t="s">
        <v>59</v>
      </c>
      <c r="J15" t="s">
        <v>71</v>
      </c>
      <c r="K15">
        <v>4</v>
      </c>
      <c r="L15">
        <v>6200</v>
      </c>
      <c r="M15">
        <v>0</v>
      </c>
      <c r="N15">
        <v>24800</v>
      </c>
      <c r="O15" s="22" t="s">
        <v>23</v>
      </c>
    </row>
    <row r="16" spans="1:15">
      <c r="A16" s="20" t="s">
        <v>102</v>
      </c>
      <c r="B16" t="s">
        <v>103</v>
      </c>
      <c r="C16" t="s">
        <v>104</v>
      </c>
      <c r="D16" t="s">
        <v>105</v>
      </c>
      <c r="E16" t="s">
        <v>37</v>
      </c>
      <c r="F16">
        <v>38</v>
      </c>
      <c r="G16" t="s">
        <v>43</v>
      </c>
      <c r="H16" t="s">
        <v>44</v>
      </c>
      <c r="I16" t="s">
        <v>83</v>
      </c>
      <c r="J16" t="s">
        <v>92</v>
      </c>
      <c r="K16">
        <v>4</v>
      </c>
      <c r="L16">
        <v>5435</v>
      </c>
      <c r="M16">
        <v>20</v>
      </c>
      <c r="N16">
        <v>17392</v>
      </c>
      <c r="O16" s="22" t="s">
        <v>23</v>
      </c>
    </row>
    <row r="17" spans="1:15">
      <c r="A17" s="20" t="s">
        <v>106</v>
      </c>
      <c r="B17" t="s">
        <v>107</v>
      </c>
      <c r="C17" t="s">
        <v>108</v>
      </c>
      <c r="D17" t="s">
        <v>109</v>
      </c>
      <c r="E17" t="s">
        <v>19</v>
      </c>
      <c r="F17">
        <v>22</v>
      </c>
      <c r="G17" t="s">
        <v>43</v>
      </c>
      <c r="H17" t="s">
        <v>44</v>
      </c>
      <c r="I17" t="s">
        <v>59</v>
      </c>
      <c r="J17" t="s">
        <v>110</v>
      </c>
      <c r="K17">
        <v>3</v>
      </c>
      <c r="L17">
        <v>933</v>
      </c>
      <c r="M17">
        <v>20</v>
      </c>
      <c r="N17">
        <v>2239.2</v>
      </c>
      <c r="O17" s="22" t="s">
        <v>23</v>
      </c>
    </row>
    <row r="18" spans="1:15">
      <c r="A18" s="20" t="s">
        <v>111</v>
      </c>
      <c r="B18" t="s">
        <v>112</v>
      </c>
      <c r="C18" t="s">
        <v>113</v>
      </c>
      <c r="D18" t="s">
        <v>114</v>
      </c>
      <c r="E18" t="s">
        <v>37</v>
      </c>
      <c r="F18">
        <v>23</v>
      </c>
      <c r="G18" t="s">
        <v>38</v>
      </c>
      <c r="H18" t="s">
        <v>39</v>
      </c>
      <c r="I18" t="s">
        <v>83</v>
      </c>
      <c r="J18" t="s">
        <v>92</v>
      </c>
      <c r="K18">
        <v>2</v>
      </c>
      <c r="L18">
        <v>1479</v>
      </c>
      <c r="M18">
        <v>20</v>
      </c>
      <c r="N18">
        <v>2366.4</v>
      </c>
      <c r="O18" s="22" t="s">
        <v>65</v>
      </c>
    </row>
    <row r="19" spans="1:15">
      <c r="A19" s="20" t="s">
        <v>115</v>
      </c>
      <c r="B19" t="s">
        <v>116</v>
      </c>
      <c r="C19" t="s">
        <v>117</v>
      </c>
      <c r="D19" t="s">
        <v>36</v>
      </c>
      <c r="E19" t="s">
        <v>37</v>
      </c>
      <c r="F19">
        <v>39</v>
      </c>
      <c r="G19" t="s">
        <v>38</v>
      </c>
      <c r="H19" t="s">
        <v>39</v>
      </c>
      <c r="I19" t="s">
        <v>83</v>
      </c>
      <c r="J19" t="s">
        <v>118</v>
      </c>
      <c r="K19">
        <v>3</v>
      </c>
      <c r="L19">
        <v>3426</v>
      </c>
      <c r="M19">
        <v>20</v>
      </c>
      <c r="N19">
        <v>8222.4</v>
      </c>
      <c r="O19" s="22" t="s">
        <v>32</v>
      </c>
    </row>
    <row r="20" spans="1:15">
      <c r="A20" s="20" t="s">
        <v>119</v>
      </c>
      <c r="B20" t="s">
        <v>120</v>
      </c>
      <c r="C20" t="s">
        <v>121</v>
      </c>
      <c r="D20" t="s">
        <v>56</v>
      </c>
      <c r="E20" t="s">
        <v>37</v>
      </c>
      <c r="F20">
        <v>24</v>
      </c>
      <c r="G20" t="s">
        <v>20</v>
      </c>
      <c r="H20" t="s">
        <v>20</v>
      </c>
      <c r="I20" t="s">
        <v>21</v>
      </c>
      <c r="J20" t="s">
        <v>22</v>
      </c>
      <c r="K20">
        <v>1</v>
      </c>
      <c r="L20">
        <v>3343</v>
      </c>
      <c r="M20">
        <v>5</v>
      </c>
      <c r="N20">
        <v>3175.85</v>
      </c>
      <c r="O20" s="22" t="s">
        <v>32</v>
      </c>
    </row>
    <row r="21" spans="1:15">
      <c r="A21" s="20" t="s">
        <v>122</v>
      </c>
      <c r="B21" t="s">
        <v>123</v>
      </c>
      <c r="C21" t="s">
        <v>124</v>
      </c>
      <c r="D21" t="s">
        <v>125</v>
      </c>
      <c r="E21" t="s">
        <v>37</v>
      </c>
      <c r="F21">
        <v>47</v>
      </c>
      <c r="G21" t="s">
        <v>70</v>
      </c>
      <c r="H21" t="s">
        <v>70</v>
      </c>
      <c r="I21" t="s">
        <v>83</v>
      </c>
      <c r="J21" t="s">
        <v>92</v>
      </c>
      <c r="K21">
        <v>3</v>
      </c>
      <c r="L21">
        <v>7309</v>
      </c>
      <c r="M21">
        <v>15</v>
      </c>
      <c r="N21">
        <v>18637.95</v>
      </c>
      <c r="O21" s="22" t="s">
        <v>65</v>
      </c>
    </row>
    <row r="22" spans="1:15">
      <c r="A22" s="20" t="s">
        <v>126</v>
      </c>
      <c r="B22" t="s">
        <v>127</v>
      </c>
      <c r="C22" t="s">
        <v>128</v>
      </c>
      <c r="D22" t="s">
        <v>18</v>
      </c>
      <c r="E22" t="s">
        <v>19</v>
      </c>
      <c r="F22">
        <v>24</v>
      </c>
      <c r="G22" t="s">
        <v>20</v>
      </c>
      <c r="H22" t="s">
        <v>20</v>
      </c>
      <c r="I22" t="s">
        <v>21</v>
      </c>
      <c r="J22" t="s">
        <v>129</v>
      </c>
      <c r="K22">
        <v>5</v>
      </c>
      <c r="L22">
        <v>2286</v>
      </c>
      <c r="M22">
        <v>15</v>
      </c>
      <c r="N22">
        <v>9715.5</v>
      </c>
      <c r="O22" s="22" t="s">
        <v>65</v>
      </c>
    </row>
    <row r="23" spans="1:15">
      <c r="A23" s="20" t="s">
        <v>130</v>
      </c>
      <c r="B23" t="s">
        <v>131</v>
      </c>
      <c r="C23" t="s">
        <v>132</v>
      </c>
      <c r="D23" t="s">
        <v>49</v>
      </c>
      <c r="E23" t="s">
        <v>19</v>
      </c>
      <c r="F23">
        <v>25</v>
      </c>
      <c r="G23" t="s">
        <v>100</v>
      </c>
      <c r="H23" t="s">
        <v>101</v>
      </c>
      <c r="I23" t="s">
        <v>83</v>
      </c>
      <c r="J23" t="s">
        <v>133</v>
      </c>
      <c r="K23">
        <v>3</v>
      </c>
      <c r="L23">
        <v>5782</v>
      </c>
      <c r="M23">
        <v>5</v>
      </c>
      <c r="N23">
        <v>16478.7</v>
      </c>
      <c r="O23" s="22" t="s">
        <v>61</v>
      </c>
    </row>
    <row r="24" spans="1:15">
      <c r="A24" s="20" t="s">
        <v>134</v>
      </c>
      <c r="B24" t="s">
        <v>135</v>
      </c>
      <c r="C24" t="s">
        <v>136</v>
      </c>
      <c r="D24" t="s">
        <v>105</v>
      </c>
      <c r="E24" t="s">
        <v>37</v>
      </c>
      <c r="F24">
        <v>23</v>
      </c>
      <c r="G24" t="s">
        <v>57</v>
      </c>
      <c r="H24" t="s">
        <v>58</v>
      </c>
      <c r="I24" t="s">
        <v>59</v>
      </c>
      <c r="J24" t="s">
        <v>110</v>
      </c>
      <c r="K24">
        <v>3</v>
      </c>
      <c r="L24">
        <v>2435</v>
      </c>
      <c r="M24">
        <v>20</v>
      </c>
      <c r="N24">
        <v>5844</v>
      </c>
      <c r="O24" s="22" t="s">
        <v>65</v>
      </c>
    </row>
    <row r="25" spans="1:15">
      <c r="A25" s="20" t="s">
        <v>137</v>
      </c>
      <c r="B25" t="s">
        <v>138</v>
      </c>
      <c r="C25" t="s">
        <v>139</v>
      </c>
      <c r="D25" t="s">
        <v>18</v>
      </c>
      <c r="E25" t="s">
        <v>19</v>
      </c>
      <c r="F25">
        <v>29</v>
      </c>
      <c r="G25" t="s">
        <v>140</v>
      </c>
      <c r="H25" t="s">
        <v>141</v>
      </c>
      <c r="I25" t="s">
        <v>83</v>
      </c>
      <c r="J25" t="s">
        <v>118</v>
      </c>
      <c r="K25">
        <v>2</v>
      </c>
      <c r="L25">
        <v>7432</v>
      </c>
      <c r="M25">
        <v>10</v>
      </c>
      <c r="N25">
        <v>13377.6</v>
      </c>
      <c r="O25" s="22" t="s">
        <v>65</v>
      </c>
    </row>
    <row r="26" spans="1:15">
      <c r="A26" s="20" t="s">
        <v>142</v>
      </c>
      <c r="B26" t="s">
        <v>143</v>
      </c>
      <c r="C26" t="s">
        <v>144</v>
      </c>
      <c r="D26" t="s">
        <v>145</v>
      </c>
      <c r="E26" t="s">
        <v>19</v>
      </c>
      <c r="F26">
        <v>50</v>
      </c>
      <c r="G26" t="s">
        <v>20</v>
      </c>
      <c r="H26" t="s">
        <v>20</v>
      </c>
      <c r="I26" t="s">
        <v>30</v>
      </c>
      <c r="J26" t="s">
        <v>76</v>
      </c>
      <c r="K26">
        <v>1</v>
      </c>
      <c r="L26">
        <v>3068</v>
      </c>
      <c r="M26">
        <v>10</v>
      </c>
      <c r="N26">
        <v>2761.2</v>
      </c>
      <c r="O26" s="22" t="s">
        <v>61</v>
      </c>
    </row>
    <row r="27" spans="1:15">
      <c r="A27" s="20" t="s">
        <v>146</v>
      </c>
      <c r="B27" t="s">
        <v>147</v>
      </c>
      <c r="C27" t="s">
        <v>148</v>
      </c>
      <c r="D27" t="s">
        <v>149</v>
      </c>
      <c r="E27" t="s">
        <v>37</v>
      </c>
      <c r="F27">
        <v>36</v>
      </c>
      <c r="G27" t="s">
        <v>57</v>
      </c>
      <c r="H27" t="s">
        <v>58</v>
      </c>
      <c r="I27" t="s">
        <v>30</v>
      </c>
      <c r="J27" t="s">
        <v>52</v>
      </c>
      <c r="K27">
        <v>3</v>
      </c>
      <c r="L27">
        <v>5800</v>
      </c>
      <c r="M27">
        <v>0</v>
      </c>
      <c r="N27">
        <v>17400</v>
      </c>
      <c r="O27" s="22" t="s">
        <v>61</v>
      </c>
    </row>
    <row r="28" spans="1:15">
      <c r="A28" s="20" t="s">
        <v>150</v>
      </c>
      <c r="B28" t="s">
        <v>151</v>
      </c>
      <c r="C28" t="s">
        <v>152</v>
      </c>
      <c r="D28" t="s">
        <v>91</v>
      </c>
      <c r="E28" t="s">
        <v>37</v>
      </c>
      <c r="F28">
        <v>35</v>
      </c>
      <c r="G28" t="s">
        <v>50</v>
      </c>
      <c r="H28" t="s">
        <v>51</v>
      </c>
      <c r="I28" t="s">
        <v>83</v>
      </c>
      <c r="J28" t="s">
        <v>84</v>
      </c>
      <c r="K28">
        <v>3</v>
      </c>
      <c r="L28">
        <v>1232</v>
      </c>
      <c r="M28">
        <v>10</v>
      </c>
      <c r="N28">
        <v>3326.4</v>
      </c>
      <c r="O28" s="22" t="s">
        <v>32</v>
      </c>
    </row>
    <row r="29" spans="1:15">
      <c r="A29" s="20" t="s">
        <v>153</v>
      </c>
      <c r="B29" t="s">
        <v>154</v>
      </c>
      <c r="C29" t="s">
        <v>155</v>
      </c>
      <c r="D29" t="s">
        <v>69</v>
      </c>
      <c r="E29" t="s">
        <v>37</v>
      </c>
      <c r="F29">
        <v>35</v>
      </c>
      <c r="G29" t="s">
        <v>50</v>
      </c>
      <c r="H29" t="s">
        <v>51</v>
      </c>
      <c r="I29" t="s">
        <v>30</v>
      </c>
      <c r="J29" t="s">
        <v>52</v>
      </c>
      <c r="K29">
        <v>2</v>
      </c>
      <c r="L29">
        <v>5106</v>
      </c>
      <c r="M29">
        <v>5</v>
      </c>
      <c r="N29">
        <v>9701.4</v>
      </c>
      <c r="O29" s="22" t="s">
        <v>61</v>
      </c>
    </row>
    <row r="30" spans="1:15">
      <c r="A30" s="20" t="s">
        <v>156</v>
      </c>
      <c r="B30" t="s">
        <v>157</v>
      </c>
      <c r="C30" t="s">
        <v>158</v>
      </c>
      <c r="D30" t="s">
        <v>159</v>
      </c>
      <c r="E30" t="s">
        <v>19</v>
      </c>
      <c r="F30">
        <v>31</v>
      </c>
      <c r="G30" t="s">
        <v>28</v>
      </c>
      <c r="H30" t="s">
        <v>29</v>
      </c>
      <c r="I30" t="s">
        <v>83</v>
      </c>
      <c r="J30" t="s">
        <v>133</v>
      </c>
      <c r="K30">
        <v>1</v>
      </c>
      <c r="L30">
        <v>4246</v>
      </c>
      <c r="M30">
        <v>15</v>
      </c>
      <c r="N30">
        <v>3609.1</v>
      </c>
      <c r="O30" s="22" t="s">
        <v>61</v>
      </c>
    </row>
    <row r="31" spans="1:15">
      <c r="A31" s="20" t="s">
        <v>160</v>
      </c>
      <c r="B31" t="s">
        <v>161</v>
      </c>
      <c r="C31" t="s">
        <v>162</v>
      </c>
      <c r="D31" t="s">
        <v>163</v>
      </c>
      <c r="E31" t="s">
        <v>19</v>
      </c>
      <c r="F31">
        <v>50</v>
      </c>
      <c r="G31" t="s">
        <v>100</v>
      </c>
      <c r="H31" t="s">
        <v>101</v>
      </c>
      <c r="I31" t="s">
        <v>83</v>
      </c>
      <c r="J31" t="s">
        <v>164</v>
      </c>
      <c r="K31">
        <v>3</v>
      </c>
      <c r="L31">
        <v>2000</v>
      </c>
      <c r="M31">
        <v>15</v>
      </c>
      <c r="N31">
        <v>5100</v>
      </c>
      <c r="O31" s="22" t="s">
        <v>61</v>
      </c>
    </row>
    <row r="32" spans="1:15">
      <c r="A32" s="20" t="s">
        <v>165</v>
      </c>
      <c r="B32" t="s">
        <v>166</v>
      </c>
      <c r="C32" t="s">
        <v>167</v>
      </c>
      <c r="D32" t="s">
        <v>18</v>
      </c>
      <c r="E32" t="s">
        <v>19</v>
      </c>
      <c r="F32">
        <v>50</v>
      </c>
      <c r="G32" t="s">
        <v>140</v>
      </c>
      <c r="H32" t="s">
        <v>141</v>
      </c>
      <c r="I32" t="s">
        <v>21</v>
      </c>
      <c r="J32" t="s">
        <v>129</v>
      </c>
      <c r="K32">
        <v>2</v>
      </c>
      <c r="L32">
        <v>254</v>
      </c>
      <c r="M32">
        <v>0</v>
      </c>
      <c r="N32">
        <v>508</v>
      </c>
      <c r="O32" s="22" t="s">
        <v>61</v>
      </c>
    </row>
    <row r="33" spans="1:15">
      <c r="A33" s="20" t="s">
        <v>168</v>
      </c>
      <c r="B33" t="s">
        <v>169</v>
      </c>
      <c r="C33" t="s">
        <v>170</v>
      </c>
      <c r="D33" t="s">
        <v>56</v>
      </c>
      <c r="E33" t="s">
        <v>37</v>
      </c>
      <c r="F33">
        <v>43</v>
      </c>
      <c r="G33" t="s">
        <v>43</v>
      </c>
      <c r="H33" t="s">
        <v>44</v>
      </c>
      <c r="I33" t="s">
        <v>59</v>
      </c>
      <c r="J33" t="s">
        <v>171</v>
      </c>
      <c r="K33">
        <v>5</v>
      </c>
      <c r="L33">
        <v>6436</v>
      </c>
      <c r="M33">
        <v>20</v>
      </c>
      <c r="N33">
        <v>25744</v>
      </c>
      <c r="O33" s="22" t="s">
        <v>61</v>
      </c>
    </row>
    <row r="34" spans="1:15">
      <c r="A34" s="20" t="s">
        <v>172</v>
      </c>
      <c r="B34" t="s">
        <v>173</v>
      </c>
      <c r="C34" t="s">
        <v>174</v>
      </c>
      <c r="D34" t="s">
        <v>56</v>
      </c>
      <c r="E34" t="s">
        <v>37</v>
      </c>
      <c r="F34">
        <v>49</v>
      </c>
      <c r="G34" t="s">
        <v>140</v>
      </c>
      <c r="H34" t="s">
        <v>141</v>
      </c>
      <c r="I34" t="s">
        <v>21</v>
      </c>
      <c r="J34" t="s">
        <v>22</v>
      </c>
      <c r="K34">
        <v>5</v>
      </c>
      <c r="L34">
        <v>6440</v>
      </c>
      <c r="M34">
        <v>10</v>
      </c>
      <c r="N34">
        <v>28980</v>
      </c>
      <c r="O34" s="22" t="s">
        <v>65</v>
      </c>
    </row>
    <row r="35" spans="1:15">
      <c r="A35" s="20" t="s">
        <v>175</v>
      </c>
      <c r="B35" t="s">
        <v>176</v>
      </c>
      <c r="C35" t="s">
        <v>177</v>
      </c>
      <c r="D35" t="s">
        <v>49</v>
      </c>
      <c r="E35" t="s">
        <v>19</v>
      </c>
      <c r="F35">
        <v>20</v>
      </c>
      <c r="G35" t="s">
        <v>70</v>
      </c>
      <c r="H35" t="s">
        <v>70</v>
      </c>
      <c r="I35" t="s">
        <v>21</v>
      </c>
      <c r="J35" t="s">
        <v>129</v>
      </c>
      <c r="K35">
        <v>3</v>
      </c>
      <c r="L35">
        <v>329</v>
      </c>
      <c r="M35">
        <v>10</v>
      </c>
      <c r="N35">
        <v>888.3</v>
      </c>
      <c r="O35" s="22" t="s">
        <v>32</v>
      </c>
    </row>
    <row r="36" spans="1:15">
      <c r="A36" s="20" t="s">
        <v>178</v>
      </c>
      <c r="B36" t="s">
        <v>179</v>
      </c>
      <c r="C36" t="s">
        <v>180</v>
      </c>
      <c r="D36" t="s">
        <v>69</v>
      </c>
      <c r="E36" t="s">
        <v>37</v>
      </c>
      <c r="F36">
        <v>39</v>
      </c>
      <c r="G36" t="s">
        <v>28</v>
      </c>
      <c r="H36" t="s">
        <v>29</v>
      </c>
      <c r="I36" t="s">
        <v>21</v>
      </c>
      <c r="J36" t="s">
        <v>22</v>
      </c>
      <c r="K36">
        <v>3</v>
      </c>
      <c r="L36">
        <v>3615</v>
      </c>
      <c r="M36">
        <v>10</v>
      </c>
      <c r="N36">
        <v>9760.5</v>
      </c>
      <c r="O36" s="22" t="s">
        <v>23</v>
      </c>
    </row>
    <row r="37" spans="1:15">
      <c r="A37" s="20" t="s">
        <v>181</v>
      </c>
      <c r="B37" t="s">
        <v>182</v>
      </c>
      <c r="C37" t="s">
        <v>183</v>
      </c>
      <c r="D37" t="s">
        <v>36</v>
      </c>
      <c r="E37" t="s">
        <v>37</v>
      </c>
      <c r="F37">
        <v>24</v>
      </c>
      <c r="G37" t="s">
        <v>70</v>
      </c>
      <c r="H37" t="s">
        <v>70</v>
      </c>
      <c r="I37" t="s">
        <v>30</v>
      </c>
      <c r="J37" t="s">
        <v>76</v>
      </c>
      <c r="K37">
        <v>5</v>
      </c>
      <c r="L37">
        <v>2853</v>
      </c>
      <c r="M37">
        <v>20</v>
      </c>
      <c r="N37">
        <v>11412</v>
      </c>
      <c r="O37" s="22" t="s">
        <v>32</v>
      </c>
    </row>
    <row r="38" spans="1:15">
      <c r="A38" s="20" t="s">
        <v>184</v>
      </c>
      <c r="B38" t="s">
        <v>185</v>
      </c>
      <c r="C38" t="s">
        <v>186</v>
      </c>
      <c r="D38" t="s">
        <v>56</v>
      </c>
      <c r="E38" t="s">
        <v>37</v>
      </c>
      <c r="F38">
        <v>48</v>
      </c>
      <c r="G38" t="s">
        <v>28</v>
      </c>
      <c r="H38" t="s">
        <v>29</v>
      </c>
      <c r="I38" t="s">
        <v>83</v>
      </c>
      <c r="J38" t="s">
        <v>92</v>
      </c>
      <c r="K38">
        <v>3</v>
      </c>
      <c r="L38">
        <v>5019</v>
      </c>
      <c r="M38">
        <v>20</v>
      </c>
      <c r="N38">
        <v>12045.6</v>
      </c>
      <c r="O38" s="22" t="s">
        <v>61</v>
      </c>
    </row>
    <row r="39" spans="1:15">
      <c r="A39" s="20" t="s">
        <v>187</v>
      </c>
      <c r="B39" t="s">
        <v>188</v>
      </c>
      <c r="C39" t="s">
        <v>189</v>
      </c>
      <c r="D39" t="s">
        <v>159</v>
      </c>
      <c r="E39" t="s">
        <v>19</v>
      </c>
      <c r="F39">
        <v>36</v>
      </c>
      <c r="G39" t="s">
        <v>140</v>
      </c>
      <c r="H39" t="s">
        <v>141</v>
      </c>
      <c r="I39" t="s">
        <v>21</v>
      </c>
      <c r="J39" t="s">
        <v>190</v>
      </c>
      <c r="K39">
        <v>3</v>
      </c>
      <c r="L39">
        <v>2835</v>
      </c>
      <c r="M39">
        <v>15</v>
      </c>
      <c r="N39">
        <v>7229.25</v>
      </c>
      <c r="O39" s="22" t="s">
        <v>23</v>
      </c>
    </row>
    <row r="40" spans="1:15">
      <c r="A40" s="20" t="s">
        <v>191</v>
      </c>
      <c r="B40" t="s">
        <v>192</v>
      </c>
      <c r="C40" t="s">
        <v>193</v>
      </c>
      <c r="D40" t="s">
        <v>125</v>
      </c>
      <c r="E40" t="s">
        <v>37</v>
      </c>
      <c r="F40">
        <v>25</v>
      </c>
      <c r="G40" t="s">
        <v>38</v>
      </c>
      <c r="H40" t="s">
        <v>39</v>
      </c>
      <c r="I40" t="s">
        <v>30</v>
      </c>
      <c r="J40" t="s">
        <v>76</v>
      </c>
      <c r="K40">
        <v>4</v>
      </c>
      <c r="L40">
        <v>7527</v>
      </c>
      <c r="M40">
        <v>20</v>
      </c>
      <c r="N40">
        <v>24086.4</v>
      </c>
      <c r="O40" s="22" t="s">
        <v>32</v>
      </c>
    </row>
    <row r="41" spans="1:15">
      <c r="A41" s="20" t="s">
        <v>194</v>
      </c>
      <c r="B41" t="s">
        <v>195</v>
      </c>
      <c r="C41" t="s">
        <v>196</v>
      </c>
      <c r="D41" t="s">
        <v>114</v>
      </c>
      <c r="E41" t="s">
        <v>37</v>
      </c>
      <c r="F41">
        <v>39</v>
      </c>
      <c r="G41" t="s">
        <v>20</v>
      </c>
      <c r="H41" t="s">
        <v>20</v>
      </c>
      <c r="I41" t="s">
        <v>21</v>
      </c>
      <c r="J41" t="s">
        <v>197</v>
      </c>
      <c r="K41">
        <v>5</v>
      </c>
      <c r="L41">
        <v>4784</v>
      </c>
      <c r="M41">
        <v>15</v>
      </c>
      <c r="N41">
        <v>20332</v>
      </c>
      <c r="O41" s="22" t="s">
        <v>61</v>
      </c>
    </row>
    <row r="42" spans="1:15">
      <c r="A42" s="20" t="s">
        <v>198</v>
      </c>
      <c r="B42" t="s">
        <v>199</v>
      </c>
      <c r="C42" t="s">
        <v>200</v>
      </c>
      <c r="D42" t="s">
        <v>149</v>
      </c>
      <c r="E42" t="s">
        <v>37</v>
      </c>
      <c r="F42">
        <v>32</v>
      </c>
      <c r="G42" t="s">
        <v>57</v>
      </c>
      <c r="H42" t="s">
        <v>58</v>
      </c>
      <c r="I42" t="s">
        <v>83</v>
      </c>
      <c r="J42" t="s">
        <v>164</v>
      </c>
      <c r="K42">
        <v>5</v>
      </c>
      <c r="L42">
        <v>6474</v>
      </c>
      <c r="M42">
        <v>10</v>
      </c>
      <c r="N42">
        <v>29133</v>
      </c>
      <c r="O42" s="22" t="s">
        <v>32</v>
      </c>
    </row>
    <row r="43" spans="1:15">
      <c r="A43" s="20" t="s">
        <v>201</v>
      </c>
      <c r="B43" t="s">
        <v>202</v>
      </c>
      <c r="C43" t="s">
        <v>203</v>
      </c>
      <c r="D43" t="s">
        <v>204</v>
      </c>
      <c r="E43" t="s">
        <v>37</v>
      </c>
      <c r="F43">
        <v>22</v>
      </c>
      <c r="G43" t="s">
        <v>57</v>
      </c>
      <c r="H43" t="s">
        <v>58</v>
      </c>
      <c r="I43" t="s">
        <v>30</v>
      </c>
      <c r="J43" t="s">
        <v>31</v>
      </c>
      <c r="K43">
        <v>5</v>
      </c>
      <c r="L43">
        <v>3694</v>
      </c>
      <c r="M43">
        <v>10</v>
      </c>
      <c r="N43">
        <v>16623</v>
      </c>
      <c r="O43" s="22" t="s">
        <v>65</v>
      </c>
    </row>
    <row r="44" spans="1:15">
      <c r="A44" s="20" t="s">
        <v>205</v>
      </c>
      <c r="B44" t="s">
        <v>206</v>
      </c>
      <c r="C44" t="s">
        <v>207</v>
      </c>
      <c r="D44" t="s">
        <v>49</v>
      </c>
      <c r="E44" t="s">
        <v>19</v>
      </c>
      <c r="F44">
        <v>49</v>
      </c>
      <c r="G44" t="s">
        <v>38</v>
      </c>
      <c r="H44" t="s">
        <v>39</v>
      </c>
      <c r="I44" t="s">
        <v>59</v>
      </c>
      <c r="J44" t="s">
        <v>171</v>
      </c>
      <c r="K44">
        <v>5</v>
      </c>
      <c r="L44">
        <v>2881</v>
      </c>
      <c r="M44">
        <v>20</v>
      </c>
      <c r="N44">
        <v>11524</v>
      </c>
      <c r="O44" s="22" t="s">
        <v>61</v>
      </c>
    </row>
    <row r="45" spans="1:15">
      <c r="A45" s="20" t="s">
        <v>208</v>
      </c>
      <c r="B45" t="s">
        <v>209</v>
      </c>
      <c r="C45" t="s">
        <v>210</v>
      </c>
      <c r="D45" t="s">
        <v>91</v>
      </c>
      <c r="E45" t="s">
        <v>37</v>
      </c>
      <c r="F45">
        <v>23</v>
      </c>
      <c r="G45" t="s">
        <v>50</v>
      </c>
      <c r="H45" t="s">
        <v>51</v>
      </c>
      <c r="I45" t="s">
        <v>59</v>
      </c>
      <c r="J45" t="s">
        <v>60</v>
      </c>
      <c r="K45">
        <v>1</v>
      </c>
      <c r="L45">
        <v>7464</v>
      </c>
      <c r="M45">
        <v>10</v>
      </c>
      <c r="N45">
        <v>6717.6</v>
      </c>
      <c r="O45" s="22" t="s">
        <v>32</v>
      </c>
    </row>
    <row r="46" spans="1:15">
      <c r="A46" s="20" t="s">
        <v>211</v>
      </c>
      <c r="B46" t="s">
        <v>212</v>
      </c>
      <c r="C46" t="s">
        <v>213</v>
      </c>
      <c r="D46" t="s">
        <v>109</v>
      </c>
      <c r="E46" t="s">
        <v>19</v>
      </c>
      <c r="F46">
        <v>47</v>
      </c>
      <c r="G46" t="s">
        <v>50</v>
      </c>
      <c r="H46" t="s">
        <v>51</v>
      </c>
      <c r="I46" t="s">
        <v>21</v>
      </c>
      <c r="J46" t="s">
        <v>22</v>
      </c>
      <c r="K46">
        <v>1</v>
      </c>
      <c r="L46">
        <v>7619</v>
      </c>
      <c r="M46">
        <v>10</v>
      </c>
      <c r="N46">
        <v>6857.1</v>
      </c>
      <c r="O46" s="22" t="s">
        <v>23</v>
      </c>
    </row>
    <row r="47" spans="1:15">
      <c r="A47" s="20" t="s">
        <v>214</v>
      </c>
      <c r="B47" t="s">
        <v>215</v>
      </c>
      <c r="C47" t="s">
        <v>216</v>
      </c>
      <c r="D47" t="s">
        <v>36</v>
      </c>
      <c r="E47" t="s">
        <v>37</v>
      </c>
      <c r="F47">
        <v>23</v>
      </c>
      <c r="G47" t="s">
        <v>140</v>
      </c>
      <c r="H47" t="s">
        <v>141</v>
      </c>
      <c r="I47" t="s">
        <v>30</v>
      </c>
      <c r="J47" t="s">
        <v>45</v>
      </c>
      <c r="K47">
        <v>2</v>
      </c>
      <c r="L47">
        <v>1087</v>
      </c>
      <c r="M47">
        <v>15</v>
      </c>
      <c r="N47">
        <v>1847.9</v>
      </c>
      <c r="O47" s="22" t="s">
        <v>61</v>
      </c>
    </row>
    <row r="48" spans="1:15">
      <c r="A48" s="20" t="s">
        <v>217</v>
      </c>
      <c r="B48" t="s">
        <v>218</v>
      </c>
      <c r="C48" t="s">
        <v>219</v>
      </c>
      <c r="D48" t="s">
        <v>204</v>
      </c>
      <c r="E48" t="s">
        <v>37</v>
      </c>
      <c r="F48">
        <v>40</v>
      </c>
      <c r="G48" t="s">
        <v>57</v>
      </c>
      <c r="H48" t="s">
        <v>58</v>
      </c>
      <c r="I48" t="s">
        <v>21</v>
      </c>
      <c r="J48" t="s">
        <v>197</v>
      </c>
      <c r="K48">
        <v>1</v>
      </c>
      <c r="L48">
        <v>6578</v>
      </c>
      <c r="M48">
        <v>5</v>
      </c>
      <c r="N48">
        <v>6249.1</v>
      </c>
      <c r="O48" s="22" t="s">
        <v>65</v>
      </c>
    </row>
    <row r="49" spans="1:15">
      <c r="A49" s="20" t="s">
        <v>220</v>
      </c>
      <c r="B49" t="s">
        <v>221</v>
      </c>
      <c r="C49" t="s">
        <v>222</v>
      </c>
      <c r="D49" t="s">
        <v>149</v>
      </c>
      <c r="E49" t="s">
        <v>37</v>
      </c>
      <c r="F49">
        <v>40</v>
      </c>
      <c r="G49" t="s">
        <v>38</v>
      </c>
      <c r="H49" t="s">
        <v>39</v>
      </c>
      <c r="I49" t="s">
        <v>21</v>
      </c>
      <c r="J49" t="s">
        <v>190</v>
      </c>
      <c r="K49">
        <v>3</v>
      </c>
      <c r="L49">
        <v>1977</v>
      </c>
      <c r="M49">
        <v>0</v>
      </c>
      <c r="N49">
        <v>5931</v>
      </c>
      <c r="O49" s="22" t="s">
        <v>32</v>
      </c>
    </row>
    <row r="50" spans="1:15">
      <c r="A50" s="20" t="s">
        <v>223</v>
      </c>
      <c r="B50" t="s">
        <v>224</v>
      </c>
      <c r="C50" t="s">
        <v>225</v>
      </c>
      <c r="D50" t="s">
        <v>75</v>
      </c>
      <c r="E50" t="s">
        <v>19</v>
      </c>
      <c r="F50">
        <v>26</v>
      </c>
      <c r="G50" t="s">
        <v>43</v>
      </c>
      <c r="H50" t="s">
        <v>44</v>
      </c>
      <c r="I50" t="s">
        <v>30</v>
      </c>
      <c r="J50" t="s">
        <v>76</v>
      </c>
      <c r="K50">
        <v>4</v>
      </c>
      <c r="L50">
        <v>2464</v>
      </c>
      <c r="M50">
        <v>0</v>
      </c>
      <c r="N50">
        <v>9856</v>
      </c>
      <c r="O50" s="22" t="s">
        <v>65</v>
      </c>
    </row>
    <row r="51" spans="1:15">
      <c r="A51" s="20" t="s">
        <v>226</v>
      </c>
      <c r="B51" t="s">
        <v>227</v>
      </c>
      <c r="C51" t="s">
        <v>228</v>
      </c>
      <c r="D51" t="s">
        <v>69</v>
      </c>
      <c r="E51" t="s">
        <v>37</v>
      </c>
      <c r="F51">
        <v>36</v>
      </c>
      <c r="G51" t="s">
        <v>81</v>
      </c>
      <c r="H51" t="s">
        <v>82</v>
      </c>
      <c r="I51" t="s">
        <v>59</v>
      </c>
      <c r="J51" t="s">
        <v>110</v>
      </c>
      <c r="K51">
        <v>1</v>
      </c>
      <c r="L51">
        <v>456</v>
      </c>
      <c r="M51">
        <v>5</v>
      </c>
      <c r="N51">
        <v>433.2</v>
      </c>
      <c r="O51" s="22" t="s">
        <v>65</v>
      </c>
    </row>
    <row r="52" spans="1:15">
      <c r="A52" s="20" t="s">
        <v>229</v>
      </c>
      <c r="B52" t="s">
        <v>230</v>
      </c>
      <c r="C52" t="s">
        <v>231</v>
      </c>
      <c r="D52" t="s">
        <v>105</v>
      </c>
      <c r="E52" t="s">
        <v>37</v>
      </c>
      <c r="F52">
        <v>39</v>
      </c>
      <c r="G52" t="s">
        <v>57</v>
      </c>
      <c r="H52" t="s">
        <v>58</v>
      </c>
      <c r="I52" t="s">
        <v>30</v>
      </c>
      <c r="J52" t="s">
        <v>31</v>
      </c>
      <c r="K52">
        <v>2</v>
      </c>
      <c r="L52">
        <v>3284</v>
      </c>
      <c r="M52">
        <v>15</v>
      </c>
      <c r="N52">
        <v>5582.8</v>
      </c>
      <c r="O52" s="22" t="s">
        <v>23</v>
      </c>
    </row>
    <row r="53" spans="1:15">
      <c r="A53" s="20" t="s">
        <v>232</v>
      </c>
      <c r="B53" t="s">
        <v>233</v>
      </c>
      <c r="C53" t="s">
        <v>234</v>
      </c>
      <c r="D53" t="s">
        <v>114</v>
      </c>
      <c r="E53" t="s">
        <v>37</v>
      </c>
      <c r="F53">
        <v>27</v>
      </c>
      <c r="G53" t="s">
        <v>70</v>
      </c>
      <c r="H53" t="s">
        <v>70</v>
      </c>
      <c r="I53" t="s">
        <v>83</v>
      </c>
      <c r="J53" t="s">
        <v>92</v>
      </c>
      <c r="K53">
        <v>5</v>
      </c>
      <c r="L53">
        <v>6912</v>
      </c>
      <c r="M53">
        <v>0</v>
      </c>
      <c r="N53">
        <v>34560</v>
      </c>
      <c r="O53" s="22" t="s">
        <v>23</v>
      </c>
    </row>
    <row r="54" spans="1:15">
      <c r="A54" s="20" t="s">
        <v>235</v>
      </c>
      <c r="B54" t="s">
        <v>236</v>
      </c>
      <c r="C54" t="s">
        <v>237</v>
      </c>
      <c r="D54" t="s">
        <v>18</v>
      </c>
      <c r="E54" t="s">
        <v>19</v>
      </c>
      <c r="F54">
        <v>26</v>
      </c>
      <c r="G54" t="s">
        <v>50</v>
      </c>
      <c r="H54" t="s">
        <v>51</v>
      </c>
      <c r="I54" t="s">
        <v>30</v>
      </c>
      <c r="J54" t="s">
        <v>52</v>
      </c>
      <c r="K54">
        <v>1</v>
      </c>
      <c r="L54">
        <v>7586</v>
      </c>
      <c r="M54">
        <v>15</v>
      </c>
      <c r="N54">
        <v>6448.1</v>
      </c>
      <c r="O54" s="22" t="s">
        <v>32</v>
      </c>
    </row>
    <row r="55" spans="1:15">
      <c r="A55" s="20" t="s">
        <v>238</v>
      </c>
      <c r="B55" t="s">
        <v>239</v>
      </c>
      <c r="C55" t="s">
        <v>240</v>
      </c>
      <c r="D55" t="s">
        <v>18</v>
      </c>
      <c r="E55" t="s">
        <v>19</v>
      </c>
      <c r="F55">
        <v>44</v>
      </c>
      <c r="G55" t="s">
        <v>38</v>
      </c>
      <c r="H55" t="s">
        <v>39</v>
      </c>
      <c r="I55" t="s">
        <v>83</v>
      </c>
      <c r="J55" t="s">
        <v>133</v>
      </c>
      <c r="K55">
        <v>1</v>
      </c>
      <c r="L55">
        <v>1617</v>
      </c>
      <c r="M55">
        <v>5</v>
      </c>
      <c r="N55">
        <v>1536.15</v>
      </c>
      <c r="O55" s="22" t="s">
        <v>65</v>
      </c>
    </row>
    <row r="56" spans="1:15">
      <c r="A56" s="20" t="s">
        <v>241</v>
      </c>
      <c r="B56" t="s">
        <v>242</v>
      </c>
      <c r="C56" t="s">
        <v>243</v>
      </c>
      <c r="D56" t="s">
        <v>114</v>
      </c>
      <c r="E56" t="s">
        <v>37</v>
      </c>
      <c r="F56">
        <v>46</v>
      </c>
      <c r="G56" t="s">
        <v>70</v>
      </c>
      <c r="H56" t="s">
        <v>70</v>
      </c>
      <c r="I56" t="s">
        <v>59</v>
      </c>
      <c r="J56" t="s">
        <v>60</v>
      </c>
      <c r="K56">
        <v>5</v>
      </c>
      <c r="L56">
        <v>7192</v>
      </c>
      <c r="M56">
        <v>20</v>
      </c>
      <c r="N56">
        <v>28768</v>
      </c>
      <c r="O56" s="22" t="s">
        <v>32</v>
      </c>
    </row>
    <row r="57" spans="1:15">
      <c r="A57" s="20" t="s">
        <v>244</v>
      </c>
      <c r="B57" t="s">
        <v>245</v>
      </c>
      <c r="C57" t="s">
        <v>246</v>
      </c>
      <c r="D57" t="s">
        <v>145</v>
      </c>
      <c r="E57" t="s">
        <v>19</v>
      </c>
      <c r="F57">
        <v>34</v>
      </c>
      <c r="G57" t="s">
        <v>43</v>
      </c>
      <c r="H57" t="s">
        <v>44</v>
      </c>
      <c r="I57" t="s">
        <v>59</v>
      </c>
      <c r="J57" t="s">
        <v>110</v>
      </c>
      <c r="K57">
        <v>5</v>
      </c>
      <c r="L57">
        <v>2928</v>
      </c>
      <c r="M57">
        <v>0</v>
      </c>
      <c r="N57">
        <v>14640</v>
      </c>
      <c r="O57" s="22" t="s">
        <v>32</v>
      </c>
    </row>
    <row r="58" spans="1:15">
      <c r="A58" s="20" t="s">
        <v>247</v>
      </c>
      <c r="B58" t="s">
        <v>248</v>
      </c>
      <c r="C58" t="s">
        <v>249</v>
      </c>
      <c r="D58" t="s">
        <v>91</v>
      </c>
      <c r="E58" t="s">
        <v>37</v>
      </c>
      <c r="F58">
        <v>43</v>
      </c>
      <c r="G58" t="s">
        <v>57</v>
      </c>
      <c r="H58" t="s">
        <v>58</v>
      </c>
      <c r="I58" t="s">
        <v>83</v>
      </c>
      <c r="J58" t="s">
        <v>84</v>
      </c>
      <c r="K58">
        <v>2</v>
      </c>
      <c r="L58">
        <v>1292</v>
      </c>
      <c r="M58">
        <v>0</v>
      </c>
      <c r="N58">
        <v>2584</v>
      </c>
      <c r="O58" s="22" t="s">
        <v>32</v>
      </c>
    </row>
    <row r="59" spans="1:15">
      <c r="A59" s="20" t="s">
        <v>250</v>
      </c>
      <c r="B59" t="s">
        <v>251</v>
      </c>
      <c r="C59" t="s">
        <v>252</v>
      </c>
      <c r="D59" t="s">
        <v>253</v>
      </c>
      <c r="E59" t="s">
        <v>37</v>
      </c>
      <c r="F59">
        <v>25</v>
      </c>
      <c r="G59" t="s">
        <v>57</v>
      </c>
      <c r="H59" t="s">
        <v>58</v>
      </c>
      <c r="I59" t="s">
        <v>21</v>
      </c>
      <c r="J59" t="s">
        <v>129</v>
      </c>
      <c r="K59">
        <v>5</v>
      </c>
      <c r="L59">
        <v>2583</v>
      </c>
      <c r="M59">
        <v>10</v>
      </c>
      <c r="N59">
        <v>11623.5</v>
      </c>
      <c r="O59" s="22" t="s">
        <v>61</v>
      </c>
    </row>
    <row r="60" spans="1:15">
      <c r="A60" s="20" t="s">
        <v>254</v>
      </c>
      <c r="B60" t="s">
        <v>255</v>
      </c>
      <c r="C60" t="s">
        <v>256</v>
      </c>
      <c r="D60" t="s">
        <v>159</v>
      </c>
      <c r="E60" t="s">
        <v>19</v>
      </c>
      <c r="F60">
        <v>47</v>
      </c>
      <c r="G60" t="s">
        <v>140</v>
      </c>
      <c r="H60" t="s">
        <v>141</v>
      </c>
      <c r="I60" t="s">
        <v>30</v>
      </c>
      <c r="J60" t="s">
        <v>45</v>
      </c>
      <c r="K60">
        <v>2</v>
      </c>
      <c r="L60">
        <v>3844</v>
      </c>
      <c r="M60">
        <v>5</v>
      </c>
      <c r="N60">
        <v>7303.6</v>
      </c>
      <c r="O60" s="22" t="s">
        <v>23</v>
      </c>
    </row>
    <row r="61" spans="1:15">
      <c r="A61" s="20" t="s">
        <v>257</v>
      </c>
      <c r="B61" t="s">
        <v>258</v>
      </c>
      <c r="C61" t="s">
        <v>259</v>
      </c>
      <c r="D61" t="s">
        <v>114</v>
      </c>
      <c r="E61" t="s">
        <v>37</v>
      </c>
      <c r="F61">
        <v>24</v>
      </c>
      <c r="G61" t="s">
        <v>50</v>
      </c>
      <c r="H61" t="s">
        <v>51</v>
      </c>
      <c r="I61" t="s">
        <v>83</v>
      </c>
      <c r="J61" t="s">
        <v>164</v>
      </c>
      <c r="K61">
        <v>1</v>
      </c>
      <c r="L61">
        <v>3324</v>
      </c>
      <c r="M61">
        <v>5</v>
      </c>
      <c r="N61">
        <v>3157.8</v>
      </c>
      <c r="O61" s="22" t="s">
        <v>32</v>
      </c>
    </row>
    <row r="62" spans="1:15">
      <c r="A62" s="20" t="s">
        <v>260</v>
      </c>
      <c r="B62" t="s">
        <v>261</v>
      </c>
      <c r="C62" t="s">
        <v>262</v>
      </c>
      <c r="D62" t="s">
        <v>125</v>
      </c>
      <c r="E62" t="s">
        <v>37</v>
      </c>
      <c r="F62">
        <v>20</v>
      </c>
      <c r="G62" t="s">
        <v>20</v>
      </c>
      <c r="H62" t="s">
        <v>20</v>
      </c>
      <c r="I62" t="s">
        <v>30</v>
      </c>
      <c r="J62" t="s">
        <v>45</v>
      </c>
      <c r="K62">
        <v>1</v>
      </c>
      <c r="L62">
        <v>5894</v>
      </c>
      <c r="M62">
        <v>0</v>
      </c>
      <c r="N62">
        <v>5894</v>
      </c>
      <c r="O62" s="22" t="s">
        <v>65</v>
      </c>
    </row>
    <row r="63" spans="1:15">
      <c r="A63" s="20" t="s">
        <v>263</v>
      </c>
      <c r="B63" t="s">
        <v>264</v>
      </c>
      <c r="C63" t="s">
        <v>265</v>
      </c>
      <c r="D63" t="s">
        <v>49</v>
      </c>
      <c r="E63" t="s">
        <v>19</v>
      </c>
      <c r="F63">
        <v>37</v>
      </c>
      <c r="G63" t="s">
        <v>57</v>
      </c>
      <c r="H63" t="s">
        <v>58</v>
      </c>
      <c r="I63" t="s">
        <v>21</v>
      </c>
      <c r="J63" t="s">
        <v>190</v>
      </c>
      <c r="K63">
        <v>4</v>
      </c>
      <c r="L63">
        <v>500</v>
      </c>
      <c r="M63">
        <v>0</v>
      </c>
      <c r="N63">
        <v>2000</v>
      </c>
      <c r="O63" s="22" t="s">
        <v>23</v>
      </c>
    </row>
    <row r="64" spans="1:15">
      <c r="A64" s="20" t="s">
        <v>266</v>
      </c>
      <c r="B64" t="s">
        <v>267</v>
      </c>
      <c r="C64" t="s">
        <v>268</v>
      </c>
      <c r="D64" t="s">
        <v>125</v>
      </c>
      <c r="E64" t="s">
        <v>37</v>
      </c>
      <c r="F64">
        <v>35</v>
      </c>
      <c r="G64" t="s">
        <v>81</v>
      </c>
      <c r="H64" t="s">
        <v>82</v>
      </c>
      <c r="I64" t="s">
        <v>83</v>
      </c>
      <c r="J64" t="s">
        <v>133</v>
      </c>
      <c r="K64">
        <v>4</v>
      </c>
      <c r="L64">
        <v>710</v>
      </c>
      <c r="M64">
        <v>15</v>
      </c>
      <c r="N64">
        <v>2414</v>
      </c>
      <c r="O64" s="22" t="s">
        <v>23</v>
      </c>
    </row>
    <row r="65" spans="1:15">
      <c r="A65" s="20" t="s">
        <v>269</v>
      </c>
      <c r="B65" t="s">
        <v>270</v>
      </c>
      <c r="C65" t="s">
        <v>271</v>
      </c>
      <c r="D65" t="s">
        <v>109</v>
      </c>
      <c r="E65" t="s">
        <v>19</v>
      </c>
      <c r="F65">
        <v>33</v>
      </c>
      <c r="G65" t="s">
        <v>140</v>
      </c>
      <c r="H65" t="s">
        <v>141</v>
      </c>
      <c r="I65" t="s">
        <v>21</v>
      </c>
      <c r="J65" t="s">
        <v>197</v>
      </c>
      <c r="K65">
        <v>5</v>
      </c>
      <c r="L65">
        <v>6014</v>
      </c>
      <c r="M65">
        <v>5</v>
      </c>
      <c r="N65">
        <v>28566.5</v>
      </c>
      <c r="O65" s="22" t="s">
        <v>23</v>
      </c>
    </row>
    <row r="66" spans="1:15">
      <c r="A66" s="20" t="s">
        <v>272</v>
      </c>
      <c r="B66" t="s">
        <v>273</v>
      </c>
      <c r="C66" t="s">
        <v>274</v>
      </c>
      <c r="D66" t="s">
        <v>36</v>
      </c>
      <c r="E66" t="s">
        <v>37</v>
      </c>
      <c r="F66">
        <v>43</v>
      </c>
      <c r="G66" t="s">
        <v>28</v>
      </c>
      <c r="H66" t="s">
        <v>29</v>
      </c>
      <c r="I66" t="s">
        <v>83</v>
      </c>
      <c r="J66" t="s">
        <v>164</v>
      </c>
      <c r="K66">
        <v>4</v>
      </c>
      <c r="L66">
        <v>3249</v>
      </c>
      <c r="M66">
        <v>20</v>
      </c>
      <c r="N66">
        <v>10396.8</v>
      </c>
      <c r="O66" s="22" t="s">
        <v>65</v>
      </c>
    </row>
    <row r="67" spans="1:15">
      <c r="A67" s="20" t="s">
        <v>275</v>
      </c>
      <c r="B67" t="s">
        <v>276</v>
      </c>
      <c r="C67" t="s">
        <v>277</v>
      </c>
      <c r="D67" t="s">
        <v>75</v>
      </c>
      <c r="E67" t="s">
        <v>19</v>
      </c>
      <c r="F67">
        <v>35</v>
      </c>
      <c r="G67" t="s">
        <v>28</v>
      </c>
      <c r="H67" t="s">
        <v>29</v>
      </c>
      <c r="I67" t="s">
        <v>21</v>
      </c>
      <c r="J67" t="s">
        <v>197</v>
      </c>
      <c r="K67">
        <v>3</v>
      </c>
      <c r="L67">
        <v>2763</v>
      </c>
      <c r="M67">
        <v>0</v>
      </c>
      <c r="N67">
        <v>8289</v>
      </c>
      <c r="O67" s="22" t="s">
        <v>23</v>
      </c>
    </row>
    <row r="68" spans="1:15">
      <c r="A68" s="20" t="s">
        <v>278</v>
      </c>
      <c r="B68" t="s">
        <v>279</v>
      </c>
      <c r="C68" t="s">
        <v>280</v>
      </c>
      <c r="D68" t="s">
        <v>80</v>
      </c>
      <c r="E68" t="s">
        <v>19</v>
      </c>
      <c r="F68">
        <v>46</v>
      </c>
      <c r="G68" t="s">
        <v>50</v>
      </c>
      <c r="H68" t="s">
        <v>51</v>
      </c>
      <c r="I68" t="s">
        <v>21</v>
      </c>
      <c r="J68" t="s">
        <v>22</v>
      </c>
      <c r="K68">
        <v>5</v>
      </c>
      <c r="L68">
        <v>7448</v>
      </c>
      <c r="M68">
        <v>0</v>
      </c>
      <c r="N68">
        <v>37240</v>
      </c>
      <c r="O68" s="22" t="s">
        <v>32</v>
      </c>
    </row>
    <row r="69" spans="1:15">
      <c r="A69" s="20" t="s">
        <v>281</v>
      </c>
      <c r="B69" t="s">
        <v>282</v>
      </c>
      <c r="C69" t="s">
        <v>283</v>
      </c>
      <c r="D69" t="s">
        <v>36</v>
      </c>
      <c r="E69" t="s">
        <v>37</v>
      </c>
      <c r="F69">
        <v>47</v>
      </c>
      <c r="G69" t="s">
        <v>50</v>
      </c>
      <c r="H69" t="s">
        <v>51</v>
      </c>
      <c r="I69" t="s">
        <v>30</v>
      </c>
      <c r="J69" t="s">
        <v>76</v>
      </c>
      <c r="K69">
        <v>1</v>
      </c>
      <c r="L69">
        <v>2341</v>
      </c>
      <c r="M69">
        <v>15</v>
      </c>
      <c r="N69">
        <v>1989.85</v>
      </c>
      <c r="O69" s="22" t="s">
        <v>23</v>
      </c>
    </row>
    <row r="70" spans="1:15">
      <c r="A70" s="20" t="s">
        <v>284</v>
      </c>
      <c r="B70" t="s">
        <v>285</v>
      </c>
      <c r="C70" t="s">
        <v>286</v>
      </c>
      <c r="D70" t="s">
        <v>163</v>
      </c>
      <c r="E70" t="s">
        <v>19</v>
      </c>
      <c r="F70">
        <v>47</v>
      </c>
      <c r="G70" t="s">
        <v>20</v>
      </c>
      <c r="H70" t="s">
        <v>20</v>
      </c>
      <c r="I70" t="s">
        <v>83</v>
      </c>
      <c r="J70" t="s">
        <v>92</v>
      </c>
      <c r="K70">
        <v>2</v>
      </c>
      <c r="L70">
        <v>894</v>
      </c>
      <c r="M70">
        <v>20</v>
      </c>
      <c r="N70">
        <v>1430.4</v>
      </c>
      <c r="O70" s="22" t="s">
        <v>65</v>
      </c>
    </row>
    <row r="71" spans="1:15">
      <c r="A71" s="20" t="s">
        <v>287</v>
      </c>
      <c r="B71" t="s">
        <v>288</v>
      </c>
      <c r="C71" t="s">
        <v>289</v>
      </c>
      <c r="D71" t="s">
        <v>159</v>
      </c>
      <c r="E71" t="s">
        <v>19</v>
      </c>
      <c r="F71">
        <v>48</v>
      </c>
      <c r="G71" t="s">
        <v>70</v>
      </c>
      <c r="H71" t="s">
        <v>70</v>
      </c>
      <c r="I71" t="s">
        <v>21</v>
      </c>
      <c r="J71" t="s">
        <v>129</v>
      </c>
      <c r="K71">
        <v>3</v>
      </c>
      <c r="L71">
        <v>6556</v>
      </c>
      <c r="M71">
        <v>20</v>
      </c>
      <c r="N71">
        <v>15734.4</v>
      </c>
      <c r="O71" s="22" t="s">
        <v>23</v>
      </c>
    </row>
    <row r="72" spans="1:15">
      <c r="A72" s="20" t="s">
        <v>290</v>
      </c>
      <c r="B72" t="s">
        <v>291</v>
      </c>
      <c r="C72" t="s">
        <v>292</v>
      </c>
      <c r="D72" t="s">
        <v>159</v>
      </c>
      <c r="E72" t="s">
        <v>19</v>
      </c>
      <c r="F72">
        <v>20</v>
      </c>
      <c r="G72" t="s">
        <v>140</v>
      </c>
      <c r="H72" t="s">
        <v>141</v>
      </c>
      <c r="I72" t="s">
        <v>30</v>
      </c>
      <c r="J72" t="s">
        <v>45</v>
      </c>
      <c r="K72">
        <v>3</v>
      </c>
      <c r="L72">
        <v>4254</v>
      </c>
      <c r="M72">
        <v>20</v>
      </c>
      <c r="N72">
        <v>10209.6</v>
      </c>
      <c r="O72" s="22" t="s">
        <v>65</v>
      </c>
    </row>
    <row r="73" spans="1:15">
      <c r="A73" s="20" t="s">
        <v>293</v>
      </c>
      <c r="B73" t="s">
        <v>294</v>
      </c>
      <c r="C73" t="s">
        <v>295</v>
      </c>
      <c r="D73" t="s">
        <v>105</v>
      </c>
      <c r="E73" t="s">
        <v>37</v>
      </c>
      <c r="F73">
        <v>36</v>
      </c>
      <c r="G73" t="s">
        <v>140</v>
      </c>
      <c r="H73" t="s">
        <v>141</v>
      </c>
      <c r="I73" t="s">
        <v>59</v>
      </c>
      <c r="J73" t="s">
        <v>110</v>
      </c>
      <c r="K73">
        <v>5</v>
      </c>
      <c r="L73">
        <v>6616</v>
      </c>
      <c r="M73">
        <v>0</v>
      </c>
      <c r="N73">
        <v>33080</v>
      </c>
      <c r="O73" s="22" t="s">
        <v>61</v>
      </c>
    </row>
    <row r="74" spans="1:15">
      <c r="A74" s="20" t="s">
        <v>296</v>
      </c>
      <c r="B74" t="s">
        <v>297</v>
      </c>
      <c r="C74" t="s">
        <v>298</v>
      </c>
      <c r="D74" t="s">
        <v>125</v>
      </c>
      <c r="E74" t="s">
        <v>37</v>
      </c>
      <c r="F74">
        <v>47</v>
      </c>
      <c r="G74" t="s">
        <v>38</v>
      </c>
      <c r="H74" t="s">
        <v>39</v>
      </c>
      <c r="I74" t="s">
        <v>30</v>
      </c>
      <c r="J74" t="s">
        <v>96</v>
      </c>
      <c r="K74">
        <v>4</v>
      </c>
      <c r="L74">
        <v>2580</v>
      </c>
      <c r="M74">
        <v>10</v>
      </c>
      <c r="N74">
        <v>9288</v>
      </c>
      <c r="O74" s="22" t="s">
        <v>61</v>
      </c>
    </row>
    <row r="75" spans="1:15">
      <c r="A75" s="20" t="s">
        <v>299</v>
      </c>
      <c r="B75" t="s">
        <v>300</v>
      </c>
      <c r="C75" t="s">
        <v>301</v>
      </c>
      <c r="D75" t="s">
        <v>109</v>
      </c>
      <c r="E75" t="s">
        <v>19</v>
      </c>
      <c r="F75">
        <v>34</v>
      </c>
      <c r="G75" t="s">
        <v>140</v>
      </c>
      <c r="H75" t="s">
        <v>141</v>
      </c>
      <c r="I75" t="s">
        <v>30</v>
      </c>
      <c r="J75" t="s">
        <v>96</v>
      </c>
      <c r="K75">
        <v>1</v>
      </c>
      <c r="L75">
        <v>272</v>
      </c>
      <c r="M75">
        <v>5</v>
      </c>
      <c r="N75">
        <v>258.4</v>
      </c>
      <c r="O75" s="22" t="s">
        <v>32</v>
      </c>
    </row>
    <row r="76" spans="1:15">
      <c r="A76" s="20" t="s">
        <v>302</v>
      </c>
      <c r="B76" t="s">
        <v>303</v>
      </c>
      <c r="C76" t="s">
        <v>304</v>
      </c>
      <c r="D76" t="s">
        <v>27</v>
      </c>
      <c r="E76" t="s">
        <v>19</v>
      </c>
      <c r="F76">
        <v>42</v>
      </c>
      <c r="G76" t="s">
        <v>43</v>
      </c>
      <c r="H76" t="s">
        <v>44</v>
      </c>
      <c r="I76" t="s">
        <v>30</v>
      </c>
      <c r="J76" t="s">
        <v>96</v>
      </c>
      <c r="K76">
        <v>3</v>
      </c>
      <c r="L76">
        <v>2046</v>
      </c>
      <c r="M76">
        <v>10</v>
      </c>
      <c r="N76">
        <v>5524.2</v>
      </c>
      <c r="O76" s="22" t="s">
        <v>32</v>
      </c>
    </row>
    <row r="77" spans="1:15">
      <c r="A77" s="20" t="s">
        <v>305</v>
      </c>
      <c r="B77" t="s">
        <v>306</v>
      </c>
      <c r="C77" t="s">
        <v>307</v>
      </c>
      <c r="D77" t="s">
        <v>49</v>
      </c>
      <c r="E77" t="s">
        <v>19</v>
      </c>
      <c r="F77">
        <v>40</v>
      </c>
      <c r="G77" t="s">
        <v>28</v>
      </c>
      <c r="H77" t="s">
        <v>29</v>
      </c>
      <c r="I77" t="s">
        <v>30</v>
      </c>
      <c r="J77" t="s">
        <v>76</v>
      </c>
      <c r="K77">
        <v>2</v>
      </c>
      <c r="L77">
        <v>6869</v>
      </c>
      <c r="M77">
        <v>15</v>
      </c>
      <c r="N77">
        <v>11677.3</v>
      </c>
      <c r="O77" s="22" t="s">
        <v>61</v>
      </c>
    </row>
    <row r="78" spans="1:15">
      <c r="A78" s="20" t="s">
        <v>308</v>
      </c>
      <c r="B78" t="s">
        <v>309</v>
      </c>
      <c r="C78" t="s">
        <v>310</v>
      </c>
      <c r="D78" t="s">
        <v>125</v>
      </c>
      <c r="E78" t="s">
        <v>37</v>
      </c>
      <c r="F78">
        <v>22</v>
      </c>
      <c r="G78" t="s">
        <v>57</v>
      </c>
      <c r="H78" t="s">
        <v>58</v>
      </c>
      <c r="I78" t="s">
        <v>59</v>
      </c>
      <c r="J78" t="s">
        <v>110</v>
      </c>
      <c r="K78">
        <v>3</v>
      </c>
      <c r="L78">
        <v>7592</v>
      </c>
      <c r="M78">
        <v>0</v>
      </c>
      <c r="N78">
        <v>22776</v>
      </c>
      <c r="O78" s="22" t="s">
        <v>23</v>
      </c>
    </row>
    <row r="79" spans="1:15">
      <c r="A79" s="20" t="s">
        <v>311</v>
      </c>
      <c r="B79" t="s">
        <v>312</v>
      </c>
      <c r="C79" t="s">
        <v>313</v>
      </c>
      <c r="D79" t="s">
        <v>27</v>
      </c>
      <c r="E79" t="s">
        <v>19</v>
      </c>
      <c r="F79">
        <v>28</v>
      </c>
      <c r="G79" t="s">
        <v>28</v>
      </c>
      <c r="H79" t="s">
        <v>29</v>
      </c>
      <c r="I79" t="s">
        <v>83</v>
      </c>
      <c r="J79" t="s">
        <v>164</v>
      </c>
      <c r="K79">
        <v>1</v>
      </c>
      <c r="L79">
        <v>2855</v>
      </c>
      <c r="M79">
        <v>15</v>
      </c>
      <c r="N79">
        <v>2426.75</v>
      </c>
      <c r="O79" s="22" t="s">
        <v>65</v>
      </c>
    </row>
    <row r="80" spans="1:15">
      <c r="A80" s="20" t="s">
        <v>314</v>
      </c>
      <c r="B80" t="s">
        <v>315</v>
      </c>
      <c r="C80" t="s">
        <v>316</v>
      </c>
      <c r="D80" t="s">
        <v>125</v>
      </c>
      <c r="E80" t="s">
        <v>37</v>
      </c>
      <c r="F80">
        <v>50</v>
      </c>
      <c r="G80" t="s">
        <v>28</v>
      </c>
      <c r="H80" t="s">
        <v>29</v>
      </c>
      <c r="I80" t="s">
        <v>30</v>
      </c>
      <c r="J80" t="s">
        <v>76</v>
      </c>
      <c r="K80">
        <v>1</v>
      </c>
      <c r="L80">
        <v>2999</v>
      </c>
      <c r="M80">
        <v>5</v>
      </c>
      <c r="N80">
        <v>2849.05</v>
      </c>
      <c r="O80" s="22" t="s">
        <v>65</v>
      </c>
    </row>
    <row r="81" spans="1:15">
      <c r="A81" s="20" t="s">
        <v>317</v>
      </c>
      <c r="B81" t="s">
        <v>318</v>
      </c>
      <c r="C81" t="s">
        <v>319</v>
      </c>
      <c r="D81" t="s">
        <v>320</v>
      </c>
      <c r="E81" t="s">
        <v>19</v>
      </c>
      <c r="F81">
        <v>49</v>
      </c>
      <c r="G81" t="s">
        <v>43</v>
      </c>
      <c r="H81" t="s">
        <v>44</v>
      </c>
      <c r="I81" t="s">
        <v>83</v>
      </c>
      <c r="J81" t="s">
        <v>164</v>
      </c>
      <c r="K81">
        <v>2</v>
      </c>
      <c r="L81">
        <v>7090</v>
      </c>
      <c r="M81">
        <v>15</v>
      </c>
      <c r="N81">
        <v>12053</v>
      </c>
      <c r="O81" s="22" t="s">
        <v>65</v>
      </c>
    </row>
    <row r="82" spans="1:15">
      <c r="A82" s="20" t="s">
        <v>321</v>
      </c>
      <c r="B82" t="s">
        <v>322</v>
      </c>
      <c r="C82" t="s">
        <v>323</v>
      </c>
      <c r="D82" t="s">
        <v>145</v>
      </c>
      <c r="E82" t="s">
        <v>19</v>
      </c>
      <c r="F82">
        <v>30</v>
      </c>
      <c r="G82" t="s">
        <v>140</v>
      </c>
      <c r="H82" t="s">
        <v>141</v>
      </c>
      <c r="I82" t="s">
        <v>83</v>
      </c>
      <c r="J82" t="s">
        <v>118</v>
      </c>
      <c r="K82">
        <v>1</v>
      </c>
      <c r="L82">
        <v>6060</v>
      </c>
      <c r="M82">
        <v>15</v>
      </c>
      <c r="N82">
        <v>5151</v>
      </c>
      <c r="O82" s="22" t="s">
        <v>61</v>
      </c>
    </row>
    <row r="83" spans="1:15">
      <c r="A83" s="20" t="s">
        <v>324</v>
      </c>
      <c r="B83" t="s">
        <v>325</v>
      </c>
      <c r="C83" t="s">
        <v>326</v>
      </c>
      <c r="D83" t="s">
        <v>163</v>
      </c>
      <c r="E83" t="s">
        <v>19</v>
      </c>
      <c r="F83">
        <v>21</v>
      </c>
      <c r="G83" t="s">
        <v>38</v>
      </c>
      <c r="H83" t="s">
        <v>39</v>
      </c>
      <c r="I83" t="s">
        <v>59</v>
      </c>
      <c r="J83" t="s">
        <v>171</v>
      </c>
      <c r="K83">
        <v>3</v>
      </c>
      <c r="L83">
        <v>7598</v>
      </c>
      <c r="M83">
        <v>5</v>
      </c>
      <c r="N83">
        <v>21654.3</v>
      </c>
      <c r="O83" s="22" t="s">
        <v>32</v>
      </c>
    </row>
    <row r="84" spans="1:15">
      <c r="A84" s="20" t="s">
        <v>327</v>
      </c>
      <c r="B84" t="s">
        <v>328</v>
      </c>
      <c r="C84" t="s">
        <v>329</v>
      </c>
      <c r="D84" t="s">
        <v>80</v>
      </c>
      <c r="E84" t="s">
        <v>19</v>
      </c>
      <c r="F84">
        <v>25</v>
      </c>
      <c r="G84" t="s">
        <v>57</v>
      </c>
      <c r="H84" t="s">
        <v>58</v>
      </c>
      <c r="I84" t="s">
        <v>83</v>
      </c>
      <c r="J84" t="s">
        <v>92</v>
      </c>
      <c r="K84">
        <v>1</v>
      </c>
      <c r="L84">
        <v>4423</v>
      </c>
      <c r="M84">
        <v>10</v>
      </c>
      <c r="N84">
        <v>3980.7</v>
      </c>
      <c r="O84" s="22" t="s">
        <v>61</v>
      </c>
    </row>
    <row r="85" spans="1:15">
      <c r="A85" s="20" t="s">
        <v>330</v>
      </c>
      <c r="B85" t="s">
        <v>331</v>
      </c>
      <c r="C85" t="s">
        <v>332</v>
      </c>
      <c r="D85" t="s">
        <v>114</v>
      </c>
      <c r="E85" t="s">
        <v>37</v>
      </c>
      <c r="F85">
        <v>43</v>
      </c>
      <c r="G85" t="s">
        <v>81</v>
      </c>
      <c r="H85" t="s">
        <v>82</v>
      </c>
      <c r="I85" t="s">
        <v>30</v>
      </c>
      <c r="J85" t="s">
        <v>76</v>
      </c>
      <c r="K85">
        <v>4</v>
      </c>
      <c r="L85">
        <v>6171</v>
      </c>
      <c r="M85">
        <v>15</v>
      </c>
      <c r="N85">
        <v>20981.4</v>
      </c>
      <c r="O85" s="22" t="s">
        <v>65</v>
      </c>
    </row>
    <row r="86" spans="1:15">
      <c r="A86" s="20" t="s">
        <v>333</v>
      </c>
      <c r="B86" t="s">
        <v>334</v>
      </c>
      <c r="C86" t="s">
        <v>335</v>
      </c>
      <c r="D86" t="s">
        <v>253</v>
      </c>
      <c r="E86" t="s">
        <v>37</v>
      </c>
      <c r="F86">
        <v>48</v>
      </c>
      <c r="G86" t="s">
        <v>50</v>
      </c>
      <c r="H86" t="s">
        <v>51</v>
      </c>
      <c r="I86" t="s">
        <v>59</v>
      </c>
      <c r="J86" t="s">
        <v>110</v>
      </c>
      <c r="K86">
        <v>5</v>
      </c>
      <c r="L86">
        <v>1263</v>
      </c>
      <c r="M86">
        <v>5</v>
      </c>
      <c r="N86">
        <v>5999.25</v>
      </c>
      <c r="O86" s="22" t="s">
        <v>65</v>
      </c>
    </row>
    <row r="87" spans="1:15">
      <c r="A87" s="20" t="s">
        <v>336</v>
      </c>
      <c r="B87" t="s">
        <v>337</v>
      </c>
      <c r="C87" t="s">
        <v>338</v>
      </c>
      <c r="D87" t="s">
        <v>69</v>
      </c>
      <c r="E87" t="s">
        <v>37</v>
      </c>
      <c r="F87">
        <v>30</v>
      </c>
      <c r="G87" t="s">
        <v>81</v>
      </c>
      <c r="H87" t="s">
        <v>82</v>
      </c>
      <c r="I87" t="s">
        <v>83</v>
      </c>
      <c r="J87" t="s">
        <v>92</v>
      </c>
      <c r="K87">
        <v>3</v>
      </c>
      <c r="L87">
        <v>1616</v>
      </c>
      <c r="M87">
        <v>15</v>
      </c>
      <c r="N87">
        <v>4120.8</v>
      </c>
      <c r="O87" s="22" t="s">
        <v>23</v>
      </c>
    </row>
    <row r="88" spans="1:15">
      <c r="A88" s="20" t="s">
        <v>339</v>
      </c>
      <c r="B88" t="s">
        <v>340</v>
      </c>
      <c r="C88" t="s">
        <v>341</v>
      </c>
      <c r="D88" t="s">
        <v>18</v>
      </c>
      <c r="E88" t="s">
        <v>19</v>
      </c>
      <c r="F88">
        <v>48</v>
      </c>
      <c r="G88" t="s">
        <v>43</v>
      </c>
      <c r="H88" t="s">
        <v>44</v>
      </c>
      <c r="I88" t="s">
        <v>21</v>
      </c>
      <c r="J88" t="s">
        <v>129</v>
      </c>
      <c r="K88">
        <v>1</v>
      </c>
      <c r="L88">
        <v>4221</v>
      </c>
      <c r="M88">
        <v>20</v>
      </c>
      <c r="N88">
        <v>3376.8</v>
      </c>
      <c r="O88" s="22" t="s">
        <v>61</v>
      </c>
    </row>
    <row r="89" spans="1:15">
      <c r="A89" s="20" t="s">
        <v>342</v>
      </c>
      <c r="B89" t="s">
        <v>343</v>
      </c>
      <c r="C89" t="s">
        <v>344</v>
      </c>
      <c r="D89" t="s">
        <v>56</v>
      </c>
      <c r="E89" t="s">
        <v>37</v>
      </c>
      <c r="F89">
        <v>30</v>
      </c>
      <c r="G89" t="s">
        <v>50</v>
      </c>
      <c r="H89" t="s">
        <v>51</v>
      </c>
      <c r="I89" t="s">
        <v>59</v>
      </c>
      <c r="J89" t="s">
        <v>71</v>
      </c>
      <c r="K89">
        <v>2</v>
      </c>
      <c r="L89">
        <v>6410</v>
      </c>
      <c r="M89">
        <v>10</v>
      </c>
      <c r="N89">
        <v>11538</v>
      </c>
      <c r="O89" s="22" t="s">
        <v>23</v>
      </c>
    </row>
    <row r="90" spans="1:15">
      <c r="A90" s="20" t="s">
        <v>345</v>
      </c>
      <c r="B90" t="s">
        <v>346</v>
      </c>
      <c r="C90" t="s">
        <v>347</v>
      </c>
      <c r="D90" t="s">
        <v>163</v>
      </c>
      <c r="E90" t="s">
        <v>19</v>
      </c>
      <c r="F90">
        <v>30</v>
      </c>
      <c r="G90" t="s">
        <v>28</v>
      </c>
      <c r="H90" t="s">
        <v>29</v>
      </c>
      <c r="I90" t="s">
        <v>83</v>
      </c>
      <c r="J90" t="s">
        <v>133</v>
      </c>
      <c r="K90">
        <v>5</v>
      </c>
      <c r="L90">
        <v>1050</v>
      </c>
      <c r="M90">
        <v>20</v>
      </c>
      <c r="N90">
        <v>4200</v>
      </c>
      <c r="O90" s="22" t="s">
        <v>61</v>
      </c>
    </row>
    <row r="91" spans="1:15">
      <c r="A91" s="20" t="s">
        <v>348</v>
      </c>
      <c r="B91" t="s">
        <v>349</v>
      </c>
      <c r="C91" t="s">
        <v>350</v>
      </c>
      <c r="D91" t="s">
        <v>49</v>
      </c>
      <c r="E91" t="s">
        <v>19</v>
      </c>
      <c r="F91">
        <v>41</v>
      </c>
      <c r="G91" t="s">
        <v>28</v>
      </c>
      <c r="H91" t="s">
        <v>29</v>
      </c>
      <c r="I91" t="s">
        <v>59</v>
      </c>
      <c r="J91" t="s">
        <v>60</v>
      </c>
      <c r="K91">
        <v>1</v>
      </c>
      <c r="L91">
        <v>4252</v>
      </c>
      <c r="M91">
        <v>0</v>
      </c>
      <c r="N91">
        <v>4252</v>
      </c>
      <c r="O91" s="22" t="s">
        <v>61</v>
      </c>
    </row>
    <row r="92" spans="1:15">
      <c r="A92" s="20" t="s">
        <v>351</v>
      </c>
      <c r="B92" t="s">
        <v>352</v>
      </c>
      <c r="C92" t="s">
        <v>353</v>
      </c>
      <c r="D92" t="s">
        <v>36</v>
      </c>
      <c r="E92" t="s">
        <v>37</v>
      </c>
      <c r="F92">
        <v>25</v>
      </c>
      <c r="G92" t="s">
        <v>43</v>
      </c>
      <c r="H92" t="s">
        <v>44</v>
      </c>
      <c r="I92" t="s">
        <v>83</v>
      </c>
      <c r="J92" t="s">
        <v>164</v>
      </c>
      <c r="K92">
        <v>4</v>
      </c>
      <c r="L92">
        <v>5937</v>
      </c>
      <c r="M92">
        <v>5</v>
      </c>
      <c r="N92">
        <v>22560.6</v>
      </c>
      <c r="O92" s="22" t="s">
        <v>23</v>
      </c>
    </row>
    <row r="93" spans="1:15">
      <c r="A93" s="20" t="s">
        <v>354</v>
      </c>
      <c r="B93" t="s">
        <v>355</v>
      </c>
      <c r="C93" t="s">
        <v>356</v>
      </c>
      <c r="D93" t="s">
        <v>109</v>
      </c>
      <c r="E93" t="s">
        <v>19</v>
      </c>
      <c r="F93">
        <v>37</v>
      </c>
      <c r="G93" t="s">
        <v>43</v>
      </c>
      <c r="H93" t="s">
        <v>44</v>
      </c>
      <c r="I93" t="s">
        <v>83</v>
      </c>
      <c r="J93" t="s">
        <v>133</v>
      </c>
      <c r="K93">
        <v>5</v>
      </c>
      <c r="L93">
        <v>6990</v>
      </c>
      <c r="M93">
        <v>20</v>
      </c>
      <c r="N93">
        <v>27960</v>
      </c>
      <c r="O93" s="22" t="s">
        <v>32</v>
      </c>
    </row>
    <row r="94" spans="1:15">
      <c r="A94" s="20" t="s">
        <v>357</v>
      </c>
      <c r="B94" t="s">
        <v>358</v>
      </c>
      <c r="C94" t="s">
        <v>359</v>
      </c>
      <c r="D94" t="s">
        <v>159</v>
      </c>
      <c r="E94" t="s">
        <v>19</v>
      </c>
      <c r="F94">
        <v>31</v>
      </c>
      <c r="G94" t="s">
        <v>50</v>
      </c>
      <c r="H94" t="s">
        <v>51</v>
      </c>
      <c r="I94" t="s">
        <v>30</v>
      </c>
      <c r="J94" t="s">
        <v>31</v>
      </c>
      <c r="K94">
        <v>5</v>
      </c>
      <c r="L94">
        <v>5364</v>
      </c>
      <c r="M94">
        <v>10</v>
      </c>
      <c r="N94">
        <v>24138</v>
      </c>
      <c r="O94" s="22" t="s">
        <v>65</v>
      </c>
    </row>
    <row r="95" spans="1:15">
      <c r="A95" s="20" t="s">
        <v>360</v>
      </c>
      <c r="B95" t="s">
        <v>361</v>
      </c>
      <c r="C95" t="s">
        <v>362</v>
      </c>
      <c r="D95" t="s">
        <v>69</v>
      </c>
      <c r="E95" t="s">
        <v>37</v>
      </c>
      <c r="F95">
        <v>25</v>
      </c>
      <c r="G95" t="s">
        <v>57</v>
      </c>
      <c r="H95" t="s">
        <v>58</v>
      </c>
      <c r="I95" t="s">
        <v>59</v>
      </c>
      <c r="J95" t="s">
        <v>71</v>
      </c>
      <c r="K95">
        <v>5</v>
      </c>
      <c r="L95">
        <v>856</v>
      </c>
      <c r="M95">
        <v>10</v>
      </c>
      <c r="N95">
        <v>3852</v>
      </c>
      <c r="O95" s="22" t="s">
        <v>65</v>
      </c>
    </row>
    <row r="96" spans="1:15">
      <c r="A96" s="20" t="s">
        <v>363</v>
      </c>
      <c r="B96" t="s">
        <v>364</v>
      </c>
      <c r="C96" t="s">
        <v>365</v>
      </c>
      <c r="D96" t="s">
        <v>80</v>
      </c>
      <c r="E96" t="s">
        <v>19</v>
      </c>
      <c r="F96">
        <v>37</v>
      </c>
      <c r="G96" t="s">
        <v>38</v>
      </c>
      <c r="H96" t="s">
        <v>39</v>
      </c>
      <c r="I96" t="s">
        <v>83</v>
      </c>
      <c r="J96" t="s">
        <v>164</v>
      </c>
      <c r="K96">
        <v>4</v>
      </c>
      <c r="L96">
        <v>6985</v>
      </c>
      <c r="M96">
        <v>5</v>
      </c>
      <c r="N96">
        <v>26543</v>
      </c>
      <c r="O96" s="22" t="s">
        <v>65</v>
      </c>
    </row>
    <row r="97" spans="1:15">
      <c r="A97" s="20" t="s">
        <v>366</v>
      </c>
      <c r="B97" t="s">
        <v>367</v>
      </c>
      <c r="C97" t="s">
        <v>368</v>
      </c>
      <c r="D97" t="s">
        <v>80</v>
      </c>
      <c r="E97" t="s">
        <v>19</v>
      </c>
      <c r="F97">
        <v>34</v>
      </c>
      <c r="G97" t="s">
        <v>70</v>
      </c>
      <c r="H97" t="s">
        <v>70</v>
      </c>
      <c r="I97" t="s">
        <v>21</v>
      </c>
      <c r="J97" t="s">
        <v>190</v>
      </c>
      <c r="K97">
        <v>5</v>
      </c>
      <c r="L97">
        <v>5635</v>
      </c>
      <c r="M97">
        <v>5</v>
      </c>
      <c r="N97">
        <v>26766.25</v>
      </c>
      <c r="O97" s="22" t="s">
        <v>61</v>
      </c>
    </row>
    <row r="98" spans="1:15">
      <c r="A98" s="20" t="s">
        <v>369</v>
      </c>
      <c r="B98" t="s">
        <v>370</v>
      </c>
      <c r="C98" t="s">
        <v>371</v>
      </c>
      <c r="D98" t="s">
        <v>163</v>
      </c>
      <c r="E98" t="s">
        <v>19</v>
      </c>
      <c r="F98">
        <v>44</v>
      </c>
      <c r="G98" t="s">
        <v>38</v>
      </c>
      <c r="H98" t="s">
        <v>39</v>
      </c>
      <c r="I98" t="s">
        <v>21</v>
      </c>
      <c r="J98" t="s">
        <v>129</v>
      </c>
      <c r="K98">
        <v>5</v>
      </c>
      <c r="L98">
        <v>6672</v>
      </c>
      <c r="M98">
        <v>15</v>
      </c>
      <c r="N98">
        <v>28356</v>
      </c>
      <c r="O98" s="22" t="s">
        <v>65</v>
      </c>
    </row>
    <row r="99" spans="1:15">
      <c r="A99" s="20" t="s">
        <v>372</v>
      </c>
      <c r="B99" t="s">
        <v>373</v>
      </c>
      <c r="C99" t="s">
        <v>374</v>
      </c>
      <c r="D99" t="s">
        <v>91</v>
      </c>
      <c r="E99" t="s">
        <v>37</v>
      </c>
      <c r="F99">
        <v>25</v>
      </c>
      <c r="G99" t="s">
        <v>38</v>
      </c>
      <c r="H99" t="s">
        <v>39</v>
      </c>
      <c r="I99" t="s">
        <v>30</v>
      </c>
      <c r="J99" t="s">
        <v>52</v>
      </c>
      <c r="K99">
        <v>2</v>
      </c>
      <c r="L99">
        <v>4370</v>
      </c>
      <c r="M99">
        <v>20</v>
      </c>
      <c r="N99">
        <v>6992</v>
      </c>
      <c r="O99" s="22" t="s">
        <v>61</v>
      </c>
    </row>
    <row r="100" spans="1:15">
      <c r="A100" s="20" t="s">
        <v>375</v>
      </c>
      <c r="B100" t="s">
        <v>376</v>
      </c>
      <c r="C100" t="s">
        <v>377</v>
      </c>
      <c r="D100" t="s">
        <v>163</v>
      </c>
      <c r="E100" t="s">
        <v>19</v>
      </c>
      <c r="F100">
        <v>35</v>
      </c>
      <c r="G100" t="s">
        <v>57</v>
      </c>
      <c r="H100" t="s">
        <v>58</v>
      </c>
      <c r="I100" t="s">
        <v>30</v>
      </c>
      <c r="J100" t="s">
        <v>96</v>
      </c>
      <c r="K100">
        <v>3</v>
      </c>
      <c r="L100">
        <v>7683</v>
      </c>
      <c r="M100">
        <v>20</v>
      </c>
      <c r="N100">
        <v>18439.2</v>
      </c>
      <c r="O100" s="22" t="s">
        <v>23</v>
      </c>
    </row>
    <row r="101" spans="1:15">
      <c r="A101" s="20" t="s">
        <v>378</v>
      </c>
      <c r="B101" t="s">
        <v>379</v>
      </c>
      <c r="C101" t="s">
        <v>380</v>
      </c>
      <c r="D101" t="s">
        <v>320</v>
      </c>
      <c r="E101" t="s">
        <v>19</v>
      </c>
      <c r="F101">
        <v>45</v>
      </c>
      <c r="G101" t="s">
        <v>70</v>
      </c>
      <c r="H101" t="s">
        <v>70</v>
      </c>
      <c r="I101" t="s">
        <v>30</v>
      </c>
      <c r="J101" t="s">
        <v>96</v>
      </c>
      <c r="K101">
        <v>3</v>
      </c>
      <c r="L101">
        <v>6740</v>
      </c>
      <c r="M101">
        <v>0</v>
      </c>
      <c r="N101">
        <v>20220</v>
      </c>
      <c r="O101" s="22" t="s">
        <v>32</v>
      </c>
    </row>
    <row r="102" spans="1:15">
      <c r="A102" s="20" t="s">
        <v>381</v>
      </c>
      <c r="B102" t="s">
        <v>382</v>
      </c>
      <c r="C102" t="s">
        <v>383</v>
      </c>
      <c r="D102" t="s">
        <v>75</v>
      </c>
      <c r="E102" t="s">
        <v>19</v>
      </c>
      <c r="F102">
        <v>34</v>
      </c>
      <c r="G102" t="s">
        <v>140</v>
      </c>
      <c r="H102" t="s">
        <v>141</v>
      </c>
      <c r="I102" t="s">
        <v>30</v>
      </c>
      <c r="J102" t="s">
        <v>45</v>
      </c>
      <c r="K102">
        <v>5</v>
      </c>
      <c r="L102">
        <v>6410</v>
      </c>
      <c r="M102">
        <v>10</v>
      </c>
      <c r="N102">
        <v>28845</v>
      </c>
      <c r="O102" s="22" t="s">
        <v>32</v>
      </c>
    </row>
    <row r="103" spans="1:15">
      <c r="A103" s="20" t="s">
        <v>384</v>
      </c>
      <c r="B103" t="s">
        <v>385</v>
      </c>
      <c r="C103" t="s">
        <v>386</v>
      </c>
      <c r="D103" t="s">
        <v>204</v>
      </c>
      <c r="E103" t="s">
        <v>37</v>
      </c>
      <c r="F103">
        <v>48</v>
      </c>
      <c r="G103" t="s">
        <v>43</v>
      </c>
      <c r="H103" t="s">
        <v>44</v>
      </c>
      <c r="I103" t="s">
        <v>83</v>
      </c>
      <c r="J103" t="s">
        <v>133</v>
      </c>
      <c r="K103">
        <v>1</v>
      </c>
      <c r="L103">
        <v>7273</v>
      </c>
      <c r="M103">
        <v>10</v>
      </c>
      <c r="N103">
        <v>6545.7</v>
      </c>
      <c r="O103" s="22" t="s">
        <v>65</v>
      </c>
    </row>
    <row r="104" spans="1:15">
      <c r="A104" s="20" t="s">
        <v>387</v>
      </c>
      <c r="B104" t="s">
        <v>388</v>
      </c>
      <c r="C104" t="s">
        <v>389</v>
      </c>
      <c r="D104" t="s">
        <v>69</v>
      </c>
      <c r="E104" t="s">
        <v>37</v>
      </c>
      <c r="F104">
        <v>45</v>
      </c>
      <c r="G104" t="s">
        <v>140</v>
      </c>
      <c r="H104" t="s">
        <v>141</v>
      </c>
      <c r="I104" t="s">
        <v>30</v>
      </c>
      <c r="J104" t="s">
        <v>45</v>
      </c>
      <c r="K104">
        <v>1</v>
      </c>
      <c r="L104">
        <v>5865</v>
      </c>
      <c r="M104">
        <v>0</v>
      </c>
      <c r="N104">
        <v>5865</v>
      </c>
      <c r="O104" s="22" t="s">
        <v>65</v>
      </c>
    </row>
    <row r="105" spans="1:15">
      <c r="A105" s="20" t="s">
        <v>390</v>
      </c>
      <c r="B105" t="s">
        <v>391</v>
      </c>
      <c r="C105" t="s">
        <v>392</v>
      </c>
      <c r="D105" t="s">
        <v>204</v>
      </c>
      <c r="E105" t="s">
        <v>37</v>
      </c>
      <c r="F105">
        <v>34</v>
      </c>
      <c r="G105" t="s">
        <v>43</v>
      </c>
      <c r="H105" t="s">
        <v>44</v>
      </c>
      <c r="I105" t="s">
        <v>83</v>
      </c>
      <c r="J105" t="s">
        <v>92</v>
      </c>
      <c r="K105">
        <v>2</v>
      </c>
      <c r="L105">
        <v>1709</v>
      </c>
      <c r="M105">
        <v>5</v>
      </c>
      <c r="N105">
        <v>3247.1</v>
      </c>
      <c r="O105" s="22" t="s">
        <v>23</v>
      </c>
    </row>
    <row r="106" spans="1:15">
      <c r="A106" s="20" t="s">
        <v>393</v>
      </c>
      <c r="B106" t="s">
        <v>394</v>
      </c>
      <c r="C106" t="s">
        <v>395</v>
      </c>
      <c r="D106" t="s">
        <v>253</v>
      </c>
      <c r="E106" t="s">
        <v>37</v>
      </c>
      <c r="F106">
        <v>46</v>
      </c>
      <c r="G106" t="s">
        <v>70</v>
      </c>
      <c r="H106" t="s">
        <v>70</v>
      </c>
      <c r="I106" t="s">
        <v>83</v>
      </c>
      <c r="J106" t="s">
        <v>164</v>
      </c>
      <c r="K106">
        <v>5</v>
      </c>
      <c r="L106">
        <v>1198</v>
      </c>
      <c r="M106">
        <v>5</v>
      </c>
      <c r="N106">
        <v>5690.5</v>
      </c>
      <c r="O106" s="22" t="s">
        <v>23</v>
      </c>
    </row>
    <row r="107" spans="1:15">
      <c r="A107" s="20" t="s">
        <v>396</v>
      </c>
      <c r="B107" t="s">
        <v>397</v>
      </c>
      <c r="C107" t="s">
        <v>398</v>
      </c>
      <c r="D107" t="s">
        <v>145</v>
      </c>
      <c r="E107" t="s">
        <v>19</v>
      </c>
      <c r="F107">
        <v>40</v>
      </c>
      <c r="G107" t="s">
        <v>28</v>
      </c>
      <c r="H107" t="s">
        <v>29</v>
      </c>
      <c r="I107" t="s">
        <v>59</v>
      </c>
      <c r="J107" t="s">
        <v>60</v>
      </c>
      <c r="K107">
        <v>1</v>
      </c>
      <c r="L107">
        <v>517</v>
      </c>
      <c r="M107">
        <v>10</v>
      </c>
      <c r="N107">
        <v>465.3</v>
      </c>
      <c r="O107" s="22" t="s">
        <v>65</v>
      </c>
    </row>
    <row r="108" spans="1:15">
      <c r="A108" s="20" t="s">
        <v>399</v>
      </c>
      <c r="B108" t="s">
        <v>400</v>
      </c>
      <c r="C108" t="s">
        <v>401</v>
      </c>
      <c r="D108" t="s">
        <v>69</v>
      </c>
      <c r="E108" t="s">
        <v>37</v>
      </c>
      <c r="F108">
        <v>35</v>
      </c>
      <c r="G108" t="s">
        <v>28</v>
      </c>
      <c r="H108" t="s">
        <v>29</v>
      </c>
      <c r="I108" t="s">
        <v>59</v>
      </c>
      <c r="J108" t="s">
        <v>171</v>
      </c>
      <c r="K108">
        <v>2</v>
      </c>
      <c r="L108">
        <v>7619</v>
      </c>
      <c r="M108">
        <v>15</v>
      </c>
      <c r="N108">
        <v>12952.3</v>
      </c>
      <c r="O108" s="22" t="s">
        <v>32</v>
      </c>
    </row>
    <row r="109" spans="1:15">
      <c r="A109" s="20" t="s">
        <v>402</v>
      </c>
      <c r="B109" t="s">
        <v>403</v>
      </c>
      <c r="C109" t="s">
        <v>404</v>
      </c>
      <c r="D109" t="s">
        <v>36</v>
      </c>
      <c r="E109" t="s">
        <v>37</v>
      </c>
      <c r="F109">
        <v>44</v>
      </c>
      <c r="G109" t="s">
        <v>20</v>
      </c>
      <c r="H109" t="s">
        <v>20</v>
      </c>
      <c r="I109" t="s">
        <v>59</v>
      </c>
      <c r="J109" t="s">
        <v>171</v>
      </c>
      <c r="K109">
        <v>2</v>
      </c>
      <c r="L109">
        <v>893</v>
      </c>
      <c r="M109">
        <v>20</v>
      </c>
      <c r="N109">
        <v>1428.8</v>
      </c>
      <c r="O109" s="22" t="s">
        <v>23</v>
      </c>
    </row>
    <row r="110" spans="1:15">
      <c r="A110" s="20" t="s">
        <v>405</v>
      </c>
      <c r="B110" t="s">
        <v>406</v>
      </c>
      <c r="C110" t="s">
        <v>407</v>
      </c>
      <c r="D110" t="s">
        <v>320</v>
      </c>
      <c r="E110" t="s">
        <v>19</v>
      </c>
      <c r="F110">
        <v>46</v>
      </c>
      <c r="G110" t="s">
        <v>140</v>
      </c>
      <c r="H110" t="s">
        <v>141</v>
      </c>
      <c r="I110" t="s">
        <v>59</v>
      </c>
      <c r="J110" t="s">
        <v>110</v>
      </c>
      <c r="K110">
        <v>3</v>
      </c>
      <c r="L110">
        <v>5308</v>
      </c>
      <c r="M110">
        <v>0</v>
      </c>
      <c r="N110">
        <v>15924</v>
      </c>
      <c r="O110" s="22" t="s">
        <v>23</v>
      </c>
    </row>
    <row r="111" spans="1:15">
      <c r="A111" s="20" t="s">
        <v>408</v>
      </c>
      <c r="B111" t="s">
        <v>409</v>
      </c>
      <c r="C111" t="s">
        <v>410</v>
      </c>
      <c r="D111" t="s">
        <v>320</v>
      </c>
      <c r="E111" t="s">
        <v>19</v>
      </c>
      <c r="F111">
        <v>26</v>
      </c>
      <c r="G111" t="s">
        <v>70</v>
      </c>
      <c r="H111" t="s">
        <v>70</v>
      </c>
      <c r="I111" t="s">
        <v>59</v>
      </c>
      <c r="J111" t="s">
        <v>60</v>
      </c>
      <c r="K111">
        <v>1</v>
      </c>
      <c r="L111">
        <v>6308</v>
      </c>
      <c r="M111">
        <v>5</v>
      </c>
      <c r="N111">
        <v>5992.6</v>
      </c>
      <c r="O111" s="22" t="s">
        <v>61</v>
      </c>
    </row>
    <row r="112" spans="1:15">
      <c r="A112" s="20" t="s">
        <v>411</v>
      </c>
      <c r="B112" t="s">
        <v>412</v>
      </c>
      <c r="C112" t="s">
        <v>413</v>
      </c>
      <c r="D112" t="s">
        <v>18</v>
      </c>
      <c r="E112" t="s">
        <v>19</v>
      </c>
      <c r="F112">
        <v>44</v>
      </c>
      <c r="G112" t="s">
        <v>20</v>
      </c>
      <c r="H112" t="s">
        <v>20</v>
      </c>
      <c r="I112" t="s">
        <v>83</v>
      </c>
      <c r="J112" t="s">
        <v>164</v>
      </c>
      <c r="K112">
        <v>3</v>
      </c>
      <c r="L112">
        <v>2007</v>
      </c>
      <c r="M112">
        <v>5</v>
      </c>
      <c r="N112">
        <v>5719.95</v>
      </c>
      <c r="O112" s="22" t="s">
        <v>23</v>
      </c>
    </row>
    <row r="113" spans="1:15">
      <c r="A113" s="20" t="s">
        <v>414</v>
      </c>
      <c r="B113" t="s">
        <v>415</v>
      </c>
      <c r="C113" t="s">
        <v>416</v>
      </c>
      <c r="D113" t="s">
        <v>91</v>
      </c>
      <c r="E113" t="s">
        <v>37</v>
      </c>
      <c r="F113">
        <v>34</v>
      </c>
      <c r="G113" t="s">
        <v>70</v>
      </c>
      <c r="H113" t="s">
        <v>70</v>
      </c>
      <c r="I113" t="s">
        <v>30</v>
      </c>
      <c r="J113" t="s">
        <v>96</v>
      </c>
      <c r="K113">
        <v>3</v>
      </c>
      <c r="L113">
        <v>1031</v>
      </c>
      <c r="M113">
        <v>10</v>
      </c>
      <c r="N113">
        <v>2783.7</v>
      </c>
      <c r="O113" s="22" t="s">
        <v>32</v>
      </c>
    </row>
    <row r="114" spans="1:15">
      <c r="A114" s="20" t="s">
        <v>417</v>
      </c>
      <c r="B114" t="s">
        <v>418</v>
      </c>
      <c r="C114" t="s">
        <v>419</v>
      </c>
      <c r="D114" t="s">
        <v>27</v>
      </c>
      <c r="E114" t="s">
        <v>19</v>
      </c>
      <c r="F114">
        <v>38</v>
      </c>
      <c r="G114" t="s">
        <v>81</v>
      </c>
      <c r="H114" t="s">
        <v>82</v>
      </c>
      <c r="I114" t="s">
        <v>59</v>
      </c>
      <c r="J114" t="s">
        <v>110</v>
      </c>
      <c r="K114">
        <v>3</v>
      </c>
      <c r="L114">
        <v>2847</v>
      </c>
      <c r="M114">
        <v>20</v>
      </c>
      <c r="N114">
        <v>6832.8</v>
      </c>
      <c r="O114" s="22" t="s">
        <v>23</v>
      </c>
    </row>
    <row r="115" spans="1:15">
      <c r="A115" s="20" t="s">
        <v>420</v>
      </c>
      <c r="B115" t="s">
        <v>421</v>
      </c>
      <c r="C115" t="s">
        <v>422</v>
      </c>
      <c r="D115" t="s">
        <v>149</v>
      </c>
      <c r="E115" t="s">
        <v>37</v>
      </c>
      <c r="F115">
        <v>32</v>
      </c>
      <c r="G115" t="s">
        <v>140</v>
      </c>
      <c r="H115" t="s">
        <v>141</v>
      </c>
      <c r="I115" t="s">
        <v>21</v>
      </c>
      <c r="J115" t="s">
        <v>197</v>
      </c>
      <c r="K115">
        <v>4</v>
      </c>
      <c r="L115">
        <v>2600</v>
      </c>
      <c r="M115">
        <v>0</v>
      </c>
      <c r="N115">
        <v>10400</v>
      </c>
      <c r="O115" s="22" t="s">
        <v>23</v>
      </c>
    </row>
    <row r="116" spans="1:15">
      <c r="A116" s="20" t="s">
        <v>423</v>
      </c>
      <c r="B116" t="s">
        <v>424</v>
      </c>
      <c r="C116" t="s">
        <v>425</v>
      </c>
      <c r="D116" t="s">
        <v>56</v>
      </c>
      <c r="E116" t="s">
        <v>37</v>
      </c>
      <c r="F116">
        <v>26</v>
      </c>
      <c r="G116" t="s">
        <v>100</v>
      </c>
      <c r="H116" t="s">
        <v>101</v>
      </c>
      <c r="I116" t="s">
        <v>59</v>
      </c>
      <c r="J116" t="s">
        <v>71</v>
      </c>
      <c r="K116">
        <v>5</v>
      </c>
      <c r="L116">
        <v>3685</v>
      </c>
      <c r="M116">
        <v>20</v>
      </c>
      <c r="N116">
        <v>14740</v>
      </c>
      <c r="O116" s="22" t="s">
        <v>65</v>
      </c>
    </row>
    <row r="117" spans="1:15">
      <c r="A117" s="20" t="s">
        <v>426</v>
      </c>
      <c r="B117" t="s">
        <v>427</v>
      </c>
      <c r="C117" t="s">
        <v>428</v>
      </c>
      <c r="D117" t="s">
        <v>18</v>
      </c>
      <c r="E117" t="s">
        <v>19</v>
      </c>
      <c r="F117">
        <v>32</v>
      </c>
      <c r="G117" t="s">
        <v>140</v>
      </c>
      <c r="H117" t="s">
        <v>141</v>
      </c>
      <c r="I117" t="s">
        <v>83</v>
      </c>
      <c r="J117" t="s">
        <v>133</v>
      </c>
      <c r="K117">
        <v>2</v>
      </c>
      <c r="L117">
        <v>4117</v>
      </c>
      <c r="M117">
        <v>0</v>
      </c>
      <c r="N117">
        <v>8234</v>
      </c>
      <c r="O117" s="22" t="s">
        <v>23</v>
      </c>
    </row>
    <row r="118" spans="1:15">
      <c r="A118" s="20" t="s">
        <v>429</v>
      </c>
      <c r="B118" t="s">
        <v>430</v>
      </c>
      <c r="C118" t="s">
        <v>431</v>
      </c>
      <c r="D118" t="s">
        <v>320</v>
      </c>
      <c r="E118" t="s">
        <v>19</v>
      </c>
      <c r="F118">
        <v>29</v>
      </c>
      <c r="G118" t="s">
        <v>43</v>
      </c>
      <c r="H118" t="s">
        <v>44</v>
      </c>
      <c r="I118" t="s">
        <v>30</v>
      </c>
      <c r="J118" t="s">
        <v>96</v>
      </c>
      <c r="K118">
        <v>3</v>
      </c>
      <c r="L118">
        <v>1460</v>
      </c>
      <c r="M118">
        <v>20</v>
      </c>
      <c r="N118">
        <v>3504</v>
      </c>
      <c r="O118" s="22" t="s">
        <v>23</v>
      </c>
    </row>
    <row r="119" spans="1:15">
      <c r="A119" s="20" t="s">
        <v>432</v>
      </c>
      <c r="B119" t="s">
        <v>433</v>
      </c>
      <c r="C119" t="s">
        <v>434</v>
      </c>
      <c r="D119" t="s">
        <v>204</v>
      </c>
      <c r="E119" t="s">
        <v>37</v>
      </c>
      <c r="F119">
        <v>44</v>
      </c>
      <c r="G119" t="s">
        <v>57</v>
      </c>
      <c r="H119" t="s">
        <v>58</v>
      </c>
      <c r="I119" t="s">
        <v>83</v>
      </c>
      <c r="J119" t="s">
        <v>133</v>
      </c>
      <c r="K119">
        <v>3</v>
      </c>
      <c r="L119">
        <v>7363</v>
      </c>
      <c r="M119">
        <v>5</v>
      </c>
      <c r="N119">
        <v>20984.55</v>
      </c>
      <c r="O119" s="22" t="s">
        <v>23</v>
      </c>
    </row>
    <row r="120" spans="1:15">
      <c r="A120" s="20" t="s">
        <v>435</v>
      </c>
      <c r="B120" t="s">
        <v>436</v>
      </c>
      <c r="C120" t="s">
        <v>437</v>
      </c>
      <c r="D120" t="s">
        <v>36</v>
      </c>
      <c r="E120" t="s">
        <v>37</v>
      </c>
      <c r="F120">
        <v>49</v>
      </c>
      <c r="G120" t="s">
        <v>100</v>
      </c>
      <c r="H120" t="s">
        <v>101</v>
      </c>
      <c r="I120" t="s">
        <v>21</v>
      </c>
      <c r="J120" t="s">
        <v>197</v>
      </c>
      <c r="K120">
        <v>1</v>
      </c>
      <c r="L120">
        <v>1068</v>
      </c>
      <c r="M120">
        <v>20</v>
      </c>
      <c r="N120">
        <v>854.4</v>
      </c>
      <c r="O120" s="22" t="s">
        <v>32</v>
      </c>
    </row>
    <row r="121" spans="1:15">
      <c r="A121" s="20" t="s">
        <v>438</v>
      </c>
      <c r="B121" t="s">
        <v>439</v>
      </c>
      <c r="C121" t="s">
        <v>440</v>
      </c>
      <c r="D121" t="s">
        <v>105</v>
      </c>
      <c r="E121" t="s">
        <v>37</v>
      </c>
      <c r="F121">
        <v>29</v>
      </c>
      <c r="G121" t="s">
        <v>38</v>
      </c>
      <c r="H121" t="s">
        <v>39</v>
      </c>
      <c r="I121" t="s">
        <v>59</v>
      </c>
      <c r="J121" t="s">
        <v>71</v>
      </c>
      <c r="K121">
        <v>5</v>
      </c>
      <c r="L121">
        <v>6057</v>
      </c>
      <c r="M121">
        <v>15</v>
      </c>
      <c r="N121">
        <v>25742.25</v>
      </c>
      <c r="O121" s="22" t="s">
        <v>32</v>
      </c>
    </row>
    <row r="122" spans="1:15">
      <c r="A122" s="20" t="s">
        <v>441</v>
      </c>
      <c r="B122" t="s">
        <v>442</v>
      </c>
      <c r="C122" t="s">
        <v>443</v>
      </c>
      <c r="D122" t="s">
        <v>75</v>
      </c>
      <c r="E122" t="s">
        <v>19</v>
      </c>
      <c r="F122">
        <v>44</v>
      </c>
      <c r="G122" t="s">
        <v>100</v>
      </c>
      <c r="H122" t="s">
        <v>101</v>
      </c>
      <c r="I122" t="s">
        <v>59</v>
      </c>
      <c r="J122" t="s">
        <v>71</v>
      </c>
      <c r="K122">
        <v>2</v>
      </c>
      <c r="L122">
        <v>4397</v>
      </c>
      <c r="M122">
        <v>10</v>
      </c>
      <c r="N122">
        <v>7914.6</v>
      </c>
      <c r="O122" s="22" t="s">
        <v>23</v>
      </c>
    </row>
    <row r="123" spans="1:15">
      <c r="A123" s="20" t="s">
        <v>444</v>
      </c>
      <c r="B123" t="s">
        <v>445</v>
      </c>
      <c r="C123" t="s">
        <v>446</v>
      </c>
      <c r="D123" t="s">
        <v>114</v>
      </c>
      <c r="E123" t="s">
        <v>37</v>
      </c>
      <c r="F123">
        <v>50</v>
      </c>
      <c r="G123" t="s">
        <v>100</v>
      </c>
      <c r="H123" t="s">
        <v>101</v>
      </c>
      <c r="I123" t="s">
        <v>83</v>
      </c>
      <c r="J123" t="s">
        <v>84</v>
      </c>
      <c r="K123">
        <v>3</v>
      </c>
      <c r="L123">
        <v>3804</v>
      </c>
      <c r="M123">
        <v>20</v>
      </c>
      <c r="N123">
        <v>9129.6</v>
      </c>
      <c r="O123" s="22" t="s">
        <v>23</v>
      </c>
    </row>
    <row r="124" spans="1:15">
      <c r="A124" s="20" t="s">
        <v>447</v>
      </c>
      <c r="B124" t="s">
        <v>448</v>
      </c>
      <c r="C124" t="s">
        <v>449</v>
      </c>
      <c r="D124" t="s">
        <v>56</v>
      </c>
      <c r="E124" t="s">
        <v>37</v>
      </c>
      <c r="F124">
        <v>45</v>
      </c>
      <c r="G124" t="s">
        <v>57</v>
      </c>
      <c r="H124" t="s">
        <v>58</v>
      </c>
      <c r="I124" t="s">
        <v>59</v>
      </c>
      <c r="J124" t="s">
        <v>171</v>
      </c>
      <c r="K124">
        <v>4</v>
      </c>
      <c r="L124">
        <v>4449</v>
      </c>
      <c r="M124">
        <v>15</v>
      </c>
      <c r="N124">
        <v>15126.6</v>
      </c>
      <c r="O124" s="22" t="s">
        <v>65</v>
      </c>
    </row>
    <row r="125" spans="1:15">
      <c r="A125" s="20" t="s">
        <v>450</v>
      </c>
      <c r="B125" t="s">
        <v>451</v>
      </c>
      <c r="C125" t="s">
        <v>452</v>
      </c>
      <c r="D125" t="s">
        <v>91</v>
      </c>
      <c r="E125" t="s">
        <v>37</v>
      </c>
      <c r="F125">
        <v>20</v>
      </c>
      <c r="G125" t="s">
        <v>100</v>
      </c>
      <c r="H125" t="s">
        <v>101</v>
      </c>
      <c r="I125" t="s">
        <v>21</v>
      </c>
      <c r="J125" t="s">
        <v>22</v>
      </c>
      <c r="K125">
        <v>2</v>
      </c>
      <c r="L125">
        <v>4231</v>
      </c>
      <c r="M125">
        <v>5</v>
      </c>
      <c r="N125">
        <v>8038.9</v>
      </c>
      <c r="O125" s="22" t="s">
        <v>61</v>
      </c>
    </row>
    <row r="126" spans="1:15">
      <c r="A126" s="20" t="s">
        <v>453</v>
      </c>
      <c r="B126" t="s">
        <v>454</v>
      </c>
      <c r="C126" t="s">
        <v>455</v>
      </c>
      <c r="D126" t="s">
        <v>114</v>
      </c>
      <c r="E126" t="s">
        <v>37</v>
      </c>
      <c r="F126">
        <v>45</v>
      </c>
      <c r="G126" t="s">
        <v>100</v>
      </c>
      <c r="H126" t="s">
        <v>101</v>
      </c>
      <c r="I126" t="s">
        <v>59</v>
      </c>
      <c r="J126" t="s">
        <v>71</v>
      </c>
      <c r="K126">
        <v>2</v>
      </c>
      <c r="L126">
        <v>3254</v>
      </c>
      <c r="M126">
        <v>5</v>
      </c>
      <c r="N126">
        <v>6182.6</v>
      </c>
      <c r="O126" s="22" t="s">
        <v>23</v>
      </c>
    </row>
    <row r="127" spans="1:15">
      <c r="A127" s="20" t="s">
        <v>456</v>
      </c>
      <c r="B127" t="s">
        <v>457</v>
      </c>
      <c r="C127" t="s">
        <v>458</v>
      </c>
      <c r="D127" t="s">
        <v>159</v>
      </c>
      <c r="E127" t="s">
        <v>19</v>
      </c>
      <c r="F127">
        <v>38</v>
      </c>
      <c r="G127" t="s">
        <v>50</v>
      </c>
      <c r="H127" t="s">
        <v>51</v>
      </c>
      <c r="I127" t="s">
        <v>21</v>
      </c>
      <c r="J127" t="s">
        <v>197</v>
      </c>
      <c r="K127">
        <v>3</v>
      </c>
      <c r="L127">
        <v>6295</v>
      </c>
      <c r="M127">
        <v>5</v>
      </c>
      <c r="N127">
        <v>17940.75</v>
      </c>
      <c r="O127" s="22" t="s">
        <v>23</v>
      </c>
    </row>
    <row r="128" spans="1:15">
      <c r="A128" s="20" t="s">
        <v>459</v>
      </c>
      <c r="B128" t="s">
        <v>460</v>
      </c>
      <c r="C128" t="s">
        <v>461</v>
      </c>
      <c r="D128" t="s">
        <v>109</v>
      </c>
      <c r="E128" t="s">
        <v>19</v>
      </c>
      <c r="F128">
        <v>41</v>
      </c>
      <c r="G128" t="s">
        <v>70</v>
      </c>
      <c r="H128" t="s">
        <v>70</v>
      </c>
      <c r="I128" t="s">
        <v>21</v>
      </c>
      <c r="J128" t="s">
        <v>129</v>
      </c>
      <c r="K128">
        <v>4</v>
      </c>
      <c r="L128">
        <v>1256</v>
      </c>
      <c r="M128">
        <v>10</v>
      </c>
      <c r="N128">
        <v>4521.6</v>
      </c>
      <c r="O128" s="22" t="s">
        <v>23</v>
      </c>
    </row>
    <row r="129" spans="1:15">
      <c r="A129" s="20" t="s">
        <v>462</v>
      </c>
      <c r="B129" t="s">
        <v>463</v>
      </c>
      <c r="C129" t="s">
        <v>464</v>
      </c>
      <c r="D129" t="s">
        <v>253</v>
      </c>
      <c r="E129" t="s">
        <v>37</v>
      </c>
      <c r="F129">
        <v>48</v>
      </c>
      <c r="G129" t="s">
        <v>70</v>
      </c>
      <c r="H129" t="s">
        <v>70</v>
      </c>
      <c r="I129" t="s">
        <v>21</v>
      </c>
      <c r="J129" t="s">
        <v>129</v>
      </c>
      <c r="K129">
        <v>1</v>
      </c>
      <c r="L129">
        <v>6514</v>
      </c>
      <c r="M129">
        <v>5</v>
      </c>
      <c r="N129">
        <v>6188.3</v>
      </c>
      <c r="O129" s="22" t="s">
        <v>23</v>
      </c>
    </row>
    <row r="130" spans="1:15">
      <c r="A130" s="20" t="s">
        <v>465</v>
      </c>
      <c r="B130" t="s">
        <v>466</v>
      </c>
      <c r="C130" t="s">
        <v>467</v>
      </c>
      <c r="D130" t="s">
        <v>204</v>
      </c>
      <c r="E130" t="s">
        <v>37</v>
      </c>
      <c r="F130">
        <v>27</v>
      </c>
      <c r="G130" t="s">
        <v>81</v>
      </c>
      <c r="H130" t="s">
        <v>82</v>
      </c>
      <c r="I130" t="s">
        <v>21</v>
      </c>
      <c r="J130" t="s">
        <v>190</v>
      </c>
      <c r="K130">
        <v>3</v>
      </c>
      <c r="L130">
        <v>6931</v>
      </c>
      <c r="M130">
        <v>0</v>
      </c>
      <c r="N130">
        <v>20793</v>
      </c>
      <c r="O130" s="22" t="s">
        <v>32</v>
      </c>
    </row>
    <row r="131" spans="1:15">
      <c r="A131" s="20" t="s">
        <v>468</v>
      </c>
      <c r="B131" t="s">
        <v>469</v>
      </c>
      <c r="C131" t="s">
        <v>470</v>
      </c>
      <c r="D131" t="s">
        <v>69</v>
      </c>
      <c r="E131" t="s">
        <v>37</v>
      </c>
      <c r="F131">
        <v>42</v>
      </c>
      <c r="G131" t="s">
        <v>20</v>
      </c>
      <c r="H131" t="s">
        <v>20</v>
      </c>
      <c r="I131" t="s">
        <v>83</v>
      </c>
      <c r="J131" t="s">
        <v>164</v>
      </c>
      <c r="K131">
        <v>3</v>
      </c>
      <c r="L131">
        <v>2431</v>
      </c>
      <c r="M131">
        <v>5</v>
      </c>
      <c r="N131">
        <v>6928.35</v>
      </c>
      <c r="O131" s="22" t="s">
        <v>61</v>
      </c>
    </row>
    <row r="132" spans="1:15">
      <c r="A132" s="20" t="s">
        <v>471</v>
      </c>
      <c r="B132" t="s">
        <v>472</v>
      </c>
      <c r="C132" t="s">
        <v>473</v>
      </c>
      <c r="D132" t="s">
        <v>320</v>
      </c>
      <c r="E132" t="s">
        <v>19</v>
      </c>
      <c r="F132">
        <v>49</v>
      </c>
      <c r="G132" t="s">
        <v>140</v>
      </c>
      <c r="H132" t="s">
        <v>141</v>
      </c>
      <c r="I132" t="s">
        <v>21</v>
      </c>
      <c r="J132" t="s">
        <v>190</v>
      </c>
      <c r="K132">
        <v>5</v>
      </c>
      <c r="L132">
        <v>3171</v>
      </c>
      <c r="M132">
        <v>0</v>
      </c>
      <c r="N132">
        <v>15855</v>
      </c>
      <c r="O132" s="22" t="s">
        <v>65</v>
      </c>
    </row>
    <row r="133" spans="1:15">
      <c r="A133" s="20" t="s">
        <v>474</v>
      </c>
      <c r="B133" t="s">
        <v>475</v>
      </c>
      <c r="C133" t="s">
        <v>476</v>
      </c>
      <c r="D133" t="s">
        <v>204</v>
      </c>
      <c r="E133" t="s">
        <v>37</v>
      </c>
      <c r="F133">
        <v>50</v>
      </c>
      <c r="G133" t="s">
        <v>70</v>
      </c>
      <c r="H133" t="s">
        <v>70</v>
      </c>
      <c r="I133" t="s">
        <v>83</v>
      </c>
      <c r="J133" t="s">
        <v>133</v>
      </c>
      <c r="K133">
        <v>3</v>
      </c>
      <c r="L133">
        <v>4718</v>
      </c>
      <c r="M133">
        <v>20</v>
      </c>
      <c r="N133">
        <v>11323.2</v>
      </c>
      <c r="O133" s="22" t="s">
        <v>32</v>
      </c>
    </row>
    <row r="134" spans="1:15">
      <c r="A134" s="20" t="s">
        <v>477</v>
      </c>
      <c r="B134" t="s">
        <v>478</v>
      </c>
      <c r="C134" t="s">
        <v>479</v>
      </c>
      <c r="D134" t="s">
        <v>114</v>
      </c>
      <c r="E134" t="s">
        <v>37</v>
      </c>
      <c r="F134">
        <v>42</v>
      </c>
      <c r="G134" t="s">
        <v>28</v>
      </c>
      <c r="H134" t="s">
        <v>29</v>
      </c>
      <c r="I134" t="s">
        <v>21</v>
      </c>
      <c r="J134" t="s">
        <v>190</v>
      </c>
      <c r="K134">
        <v>5</v>
      </c>
      <c r="L134">
        <v>1436</v>
      </c>
      <c r="M134">
        <v>5</v>
      </c>
      <c r="N134">
        <v>6821</v>
      </c>
      <c r="O134" s="22" t="s">
        <v>23</v>
      </c>
    </row>
    <row r="135" spans="1:15">
      <c r="A135" s="20" t="s">
        <v>480</v>
      </c>
      <c r="B135" t="s">
        <v>481</v>
      </c>
      <c r="C135" t="s">
        <v>482</v>
      </c>
      <c r="D135" t="s">
        <v>18</v>
      </c>
      <c r="E135" t="s">
        <v>19</v>
      </c>
      <c r="F135">
        <v>40</v>
      </c>
      <c r="G135" t="s">
        <v>50</v>
      </c>
      <c r="H135" t="s">
        <v>51</v>
      </c>
      <c r="I135" t="s">
        <v>21</v>
      </c>
      <c r="J135" t="s">
        <v>22</v>
      </c>
      <c r="K135">
        <v>2</v>
      </c>
      <c r="L135">
        <v>7516</v>
      </c>
      <c r="M135">
        <v>15</v>
      </c>
      <c r="N135">
        <v>12777.2</v>
      </c>
      <c r="O135" s="22" t="s">
        <v>23</v>
      </c>
    </row>
    <row r="136" spans="1:15">
      <c r="A136" s="20" t="s">
        <v>483</v>
      </c>
      <c r="B136" t="s">
        <v>484</v>
      </c>
      <c r="C136" t="s">
        <v>485</v>
      </c>
      <c r="D136" t="s">
        <v>159</v>
      </c>
      <c r="E136" t="s">
        <v>19</v>
      </c>
      <c r="F136">
        <v>36</v>
      </c>
      <c r="G136" t="s">
        <v>20</v>
      </c>
      <c r="H136" t="s">
        <v>20</v>
      </c>
      <c r="I136" t="s">
        <v>83</v>
      </c>
      <c r="J136" t="s">
        <v>84</v>
      </c>
      <c r="K136">
        <v>4</v>
      </c>
      <c r="L136">
        <v>5324</v>
      </c>
      <c r="M136">
        <v>10</v>
      </c>
      <c r="N136">
        <v>19166.4</v>
      </c>
      <c r="O136" s="22" t="s">
        <v>61</v>
      </c>
    </row>
    <row r="137" spans="1:15">
      <c r="A137" s="20" t="s">
        <v>486</v>
      </c>
      <c r="B137" t="s">
        <v>487</v>
      </c>
      <c r="C137" t="s">
        <v>488</v>
      </c>
      <c r="D137" t="s">
        <v>163</v>
      </c>
      <c r="E137" t="s">
        <v>19</v>
      </c>
      <c r="F137">
        <v>23</v>
      </c>
      <c r="G137" t="s">
        <v>57</v>
      </c>
      <c r="H137" t="s">
        <v>58</v>
      </c>
      <c r="I137" t="s">
        <v>59</v>
      </c>
      <c r="J137" t="s">
        <v>171</v>
      </c>
      <c r="K137">
        <v>1</v>
      </c>
      <c r="L137">
        <v>4739</v>
      </c>
      <c r="M137">
        <v>10</v>
      </c>
      <c r="N137">
        <v>4265.1</v>
      </c>
      <c r="O137" s="22" t="s">
        <v>65</v>
      </c>
    </row>
    <row r="138" spans="1:15">
      <c r="A138" s="20" t="s">
        <v>489</v>
      </c>
      <c r="B138" t="s">
        <v>490</v>
      </c>
      <c r="C138" t="s">
        <v>491</v>
      </c>
      <c r="D138" t="s">
        <v>80</v>
      </c>
      <c r="E138" t="s">
        <v>19</v>
      </c>
      <c r="F138">
        <v>32</v>
      </c>
      <c r="G138" t="s">
        <v>140</v>
      </c>
      <c r="H138" t="s">
        <v>141</v>
      </c>
      <c r="I138" t="s">
        <v>83</v>
      </c>
      <c r="J138" t="s">
        <v>118</v>
      </c>
      <c r="K138">
        <v>1</v>
      </c>
      <c r="L138">
        <v>293</v>
      </c>
      <c r="M138">
        <v>15</v>
      </c>
      <c r="N138">
        <v>249.05</v>
      </c>
      <c r="O138" s="22" t="s">
        <v>23</v>
      </c>
    </row>
    <row r="139" spans="1:15">
      <c r="A139" s="20" t="s">
        <v>492</v>
      </c>
      <c r="B139" t="s">
        <v>493</v>
      </c>
      <c r="C139" t="s">
        <v>494</v>
      </c>
      <c r="D139" t="s">
        <v>75</v>
      </c>
      <c r="E139" t="s">
        <v>19</v>
      </c>
      <c r="F139">
        <v>42</v>
      </c>
      <c r="G139" t="s">
        <v>70</v>
      </c>
      <c r="H139" t="s">
        <v>70</v>
      </c>
      <c r="I139" t="s">
        <v>21</v>
      </c>
      <c r="J139" t="s">
        <v>129</v>
      </c>
      <c r="K139">
        <v>5</v>
      </c>
      <c r="L139">
        <v>7873</v>
      </c>
      <c r="M139">
        <v>5</v>
      </c>
      <c r="N139">
        <v>37396.75</v>
      </c>
      <c r="O139" s="22" t="s">
        <v>32</v>
      </c>
    </row>
    <row r="140" spans="1:15">
      <c r="A140" s="20" t="s">
        <v>495</v>
      </c>
      <c r="B140" t="s">
        <v>496</v>
      </c>
      <c r="C140" t="s">
        <v>497</v>
      </c>
      <c r="D140" t="s">
        <v>56</v>
      </c>
      <c r="E140" t="s">
        <v>37</v>
      </c>
      <c r="F140">
        <v>46</v>
      </c>
      <c r="G140" t="s">
        <v>38</v>
      </c>
      <c r="H140" t="s">
        <v>39</v>
      </c>
      <c r="I140" t="s">
        <v>59</v>
      </c>
      <c r="J140" t="s">
        <v>60</v>
      </c>
      <c r="K140">
        <v>2</v>
      </c>
      <c r="L140">
        <v>2779</v>
      </c>
      <c r="M140">
        <v>0</v>
      </c>
      <c r="N140">
        <v>5558</v>
      </c>
      <c r="O140" s="22" t="s">
        <v>65</v>
      </c>
    </row>
    <row r="141" spans="1:15">
      <c r="A141" s="20" t="s">
        <v>498</v>
      </c>
      <c r="B141" t="s">
        <v>499</v>
      </c>
      <c r="C141" t="s">
        <v>500</v>
      </c>
      <c r="D141" t="s">
        <v>91</v>
      </c>
      <c r="E141" t="s">
        <v>37</v>
      </c>
      <c r="F141">
        <v>48</v>
      </c>
      <c r="G141" t="s">
        <v>140</v>
      </c>
      <c r="H141" t="s">
        <v>141</v>
      </c>
      <c r="I141" t="s">
        <v>83</v>
      </c>
      <c r="J141" t="s">
        <v>118</v>
      </c>
      <c r="K141">
        <v>2</v>
      </c>
      <c r="L141">
        <v>7805</v>
      </c>
      <c r="M141">
        <v>15</v>
      </c>
      <c r="N141">
        <v>13268.5</v>
      </c>
      <c r="O141" s="22" t="s">
        <v>61</v>
      </c>
    </row>
    <row r="142" spans="1:15">
      <c r="A142" s="20" t="s">
        <v>501</v>
      </c>
      <c r="B142" t="s">
        <v>502</v>
      </c>
      <c r="C142" t="s">
        <v>503</v>
      </c>
      <c r="D142" t="s">
        <v>36</v>
      </c>
      <c r="E142" t="s">
        <v>37</v>
      </c>
      <c r="F142">
        <v>39</v>
      </c>
      <c r="G142" t="s">
        <v>100</v>
      </c>
      <c r="H142" t="s">
        <v>101</v>
      </c>
      <c r="I142" t="s">
        <v>21</v>
      </c>
      <c r="J142" t="s">
        <v>190</v>
      </c>
      <c r="K142">
        <v>5</v>
      </c>
      <c r="L142">
        <v>1727</v>
      </c>
      <c r="M142">
        <v>15</v>
      </c>
      <c r="N142">
        <v>7339.75</v>
      </c>
      <c r="O142" s="22" t="s">
        <v>65</v>
      </c>
    </row>
    <row r="143" spans="1:15">
      <c r="A143" s="20" t="s">
        <v>504</v>
      </c>
      <c r="B143" t="s">
        <v>505</v>
      </c>
      <c r="C143" t="s">
        <v>506</v>
      </c>
      <c r="D143" t="s">
        <v>80</v>
      </c>
      <c r="E143" t="s">
        <v>19</v>
      </c>
      <c r="F143">
        <v>50</v>
      </c>
      <c r="G143" t="s">
        <v>43</v>
      </c>
      <c r="H143" t="s">
        <v>44</v>
      </c>
      <c r="I143" t="s">
        <v>21</v>
      </c>
      <c r="J143" t="s">
        <v>190</v>
      </c>
      <c r="K143">
        <v>5</v>
      </c>
      <c r="L143">
        <v>739</v>
      </c>
      <c r="M143">
        <v>0</v>
      </c>
      <c r="N143">
        <v>3695</v>
      </c>
      <c r="O143" s="22" t="s">
        <v>65</v>
      </c>
    </row>
    <row r="144" spans="1:15">
      <c r="A144" s="20" t="s">
        <v>507</v>
      </c>
      <c r="B144" t="s">
        <v>508</v>
      </c>
      <c r="C144" t="s">
        <v>509</v>
      </c>
      <c r="D144" t="s">
        <v>253</v>
      </c>
      <c r="E144" t="s">
        <v>37</v>
      </c>
      <c r="F144">
        <v>41</v>
      </c>
      <c r="G144" t="s">
        <v>100</v>
      </c>
      <c r="H144" t="s">
        <v>101</v>
      </c>
      <c r="I144" t="s">
        <v>59</v>
      </c>
      <c r="J144" t="s">
        <v>71</v>
      </c>
      <c r="K144">
        <v>2</v>
      </c>
      <c r="L144">
        <v>5273</v>
      </c>
      <c r="M144">
        <v>15</v>
      </c>
      <c r="N144">
        <v>8964.1</v>
      </c>
      <c r="O144" s="22" t="s">
        <v>32</v>
      </c>
    </row>
    <row r="145" spans="1:15">
      <c r="A145" s="20" t="s">
        <v>510</v>
      </c>
      <c r="B145" t="s">
        <v>511</v>
      </c>
      <c r="C145" t="s">
        <v>512</v>
      </c>
      <c r="D145" t="s">
        <v>91</v>
      </c>
      <c r="E145" t="s">
        <v>37</v>
      </c>
      <c r="F145">
        <v>42</v>
      </c>
      <c r="G145" t="s">
        <v>100</v>
      </c>
      <c r="H145" t="s">
        <v>101</v>
      </c>
      <c r="I145" t="s">
        <v>59</v>
      </c>
      <c r="J145" t="s">
        <v>171</v>
      </c>
      <c r="K145">
        <v>3</v>
      </c>
      <c r="L145">
        <v>4769</v>
      </c>
      <c r="M145">
        <v>20</v>
      </c>
      <c r="N145">
        <v>11445.6</v>
      </c>
      <c r="O145" s="22" t="s">
        <v>61</v>
      </c>
    </row>
    <row r="146" spans="1:15">
      <c r="A146" s="20" t="s">
        <v>513</v>
      </c>
      <c r="B146" t="s">
        <v>514</v>
      </c>
      <c r="C146" t="s">
        <v>515</v>
      </c>
      <c r="D146" t="s">
        <v>105</v>
      </c>
      <c r="E146" t="s">
        <v>37</v>
      </c>
      <c r="F146">
        <v>45</v>
      </c>
      <c r="G146" t="s">
        <v>140</v>
      </c>
      <c r="H146" t="s">
        <v>141</v>
      </c>
      <c r="I146" t="s">
        <v>59</v>
      </c>
      <c r="J146" t="s">
        <v>171</v>
      </c>
      <c r="K146">
        <v>5</v>
      </c>
      <c r="L146">
        <v>6803</v>
      </c>
      <c r="M146">
        <v>0</v>
      </c>
      <c r="N146">
        <v>34015</v>
      </c>
      <c r="O146" s="22" t="s">
        <v>61</v>
      </c>
    </row>
    <row r="147" spans="1:15">
      <c r="A147" s="20" t="s">
        <v>516</v>
      </c>
      <c r="B147" t="s">
        <v>517</v>
      </c>
      <c r="C147" t="s">
        <v>518</v>
      </c>
      <c r="D147" t="s">
        <v>18</v>
      </c>
      <c r="E147" t="s">
        <v>19</v>
      </c>
      <c r="F147">
        <v>26</v>
      </c>
      <c r="G147" t="s">
        <v>100</v>
      </c>
      <c r="H147" t="s">
        <v>101</v>
      </c>
      <c r="I147" t="s">
        <v>30</v>
      </c>
      <c r="J147" t="s">
        <v>31</v>
      </c>
      <c r="K147">
        <v>5</v>
      </c>
      <c r="L147">
        <v>1023</v>
      </c>
      <c r="M147">
        <v>5</v>
      </c>
      <c r="N147">
        <v>4859.25</v>
      </c>
      <c r="O147" s="22" t="s">
        <v>61</v>
      </c>
    </row>
    <row r="148" spans="1:15">
      <c r="A148" s="20" t="s">
        <v>519</v>
      </c>
      <c r="B148" t="s">
        <v>520</v>
      </c>
      <c r="C148" t="s">
        <v>521</v>
      </c>
      <c r="D148" t="s">
        <v>159</v>
      </c>
      <c r="E148" t="s">
        <v>19</v>
      </c>
      <c r="F148">
        <v>46</v>
      </c>
      <c r="G148" t="s">
        <v>38</v>
      </c>
      <c r="H148" t="s">
        <v>39</v>
      </c>
      <c r="I148" t="s">
        <v>21</v>
      </c>
      <c r="J148" t="s">
        <v>197</v>
      </c>
      <c r="K148">
        <v>1</v>
      </c>
      <c r="L148">
        <v>969</v>
      </c>
      <c r="M148">
        <v>10</v>
      </c>
      <c r="N148">
        <v>872.1</v>
      </c>
      <c r="O148" s="22" t="s">
        <v>32</v>
      </c>
    </row>
    <row r="149" spans="1:15">
      <c r="A149" s="20" t="s">
        <v>522</v>
      </c>
      <c r="B149" t="s">
        <v>523</v>
      </c>
      <c r="C149" t="s">
        <v>524</v>
      </c>
      <c r="D149" t="s">
        <v>18</v>
      </c>
      <c r="E149" t="s">
        <v>19</v>
      </c>
      <c r="F149">
        <v>28</v>
      </c>
      <c r="G149" t="s">
        <v>28</v>
      </c>
      <c r="H149" t="s">
        <v>29</v>
      </c>
      <c r="I149" t="s">
        <v>21</v>
      </c>
      <c r="J149" t="s">
        <v>190</v>
      </c>
      <c r="K149">
        <v>5</v>
      </c>
      <c r="L149">
        <v>6136</v>
      </c>
      <c r="M149">
        <v>10</v>
      </c>
      <c r="N149">
        <v>27612</v>
      </c>
      <c r="O149" s="22" t="s">
        <v>32</v>
      </c>
    </row>
    <row r="150" spans="1:15">
      <c r="A150" s="20" t="s">
        <v>525</v>
      </c>
      <c r="B150" t="s">
        <v>526</v>
      </c>
      <c r="C150" t="s">
        <v>527</v>
      </c>
      <c r="D150" t="s">
        <v>91</v>
      </c>
      <c r="E150" t="s">
        <v>37</v>
      </c>
      <c r="F150">
        <v>47</v>
      </c>
      <c r="G150" t="s">
        <v>70</v>
      </c>
      <c r="H150" t="s">
        <v>70</v>
      </c>
      <c r="I150" t="s">
        <v>59</v>
      </c>
      <c r="J150" t="s">
        <v>110</v>
      </c>
      <c r="K150">
        <v>2</v>
      </c>
      <c r="L150">
        <v>4813</v>
      </c>
      <c r="M150">
        <v>0</v>
      </c>
      <c r="N150">
        <v>9626</v>
      </c>
      <c r="O150" s="22" t="s">
        <v>23</v>
      </c>
    </row>
    <row r="151" ht="15.75" spans="1:15">
      <c r="A151" s="49" t="s">
        <v>528</v>
      </c>
      <c r="B151" s="51" t="s">
        <v>529</v>
      </c>
      <c r="C151" s="51" t="s">
        <v>530</v>
      </c>
      <c r="D151" s="51" t="s">
        <v>204</v>
      </c>
      <c r="E151" s="51" t="s">
        <v>37</v>
      </c>
      <c r="F151" s="51">
        <v>47</v>
      </c>
      <c r="G151" s="51" t="s">
        <v>20</v>
      </c>
      <c r="H151" s="51" t="s">
        <v>20</v>
      </c>
      <c r="I151" s="51" t="s">
        <v>83</v>
      </c>
      <c r="J151" s="51" t="s">
        <v>92</v>
      </c>
      <c r="K151" s="51">
        <v>1</v>
      </c>
      <c r="L151" s="51">
        <v>541</v>
      </c>
      <c r="M151" s="51">
        <v>15</v>
      </c>
      <c r="N151" s="51">
        <v>459.85</v>
      </c>
      <c r="O151" s="52" t="s">
        <v>32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51"/>
  <sheetViews>
    <sheetView topLeftCell="J5" workbookViewId="0">
      <selection activeCell="N24" sqref="N24"/>
    </sheetView>
  </sheetViews>
  <sheetFormatPr defaultColWidth="9.14285714285714" defaultRowHeight="15"/>
  <cols>
    <col min="1" max="1" width="9.57142857142857" customWidth="1"/>
    <col min="2" max="2" width="12.1428571428571" style="16" customWidth="1"/>
    <col min="3" max="3" width="13.4285714285714" customWidth="1"/>
    <col min="4" max="4" width="17.2857142857143" customWidth="1"/>
    <col min="5" max="5" width="8.28571428571429" customWidth="1"/>
    <col min="6" max="6" width="5" customWidth="1"/>
    <col min="7" max="7" width="12.5714285714286" customWidth="1"/>
    <col min="8" max="8" width="16.8571428571429" customWidth="1"/>
    <col min="9" max="9" width="18.1428571428571" customWidth="1"/>
    <col min="10" max="10" width="19" customWidth="1"/>
    <col min="11" max="11" width="9.28571428571429" customWidth="1"/>
    <col min="12" max="12" width="11" customWidth="1"/>
    <col min="13" max="13" width="13" customWidth="1"/>
    <col min="14" max="14" width="14.8571428571429" customWidth="1"/>
    <col min="15" max="15" width="16.4285714285714" customWidth="1"/>
    <col min="17" max="17" width="17.5714285714286" customWidth="1"/>
    <col min="18" max="18" width="15.5714285714286" customWidth="1"/>
    <col min="19" max="19" width="14.7142857142857" customWidth="1"/>
  </cols>
  <sheetData>
    <row r="1" ht="15.75" spans="1:15">
      <c r="A1" t="s">
        <v>0</v>
      </c>
      <c r="B1" s="16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7" t="s">
        <v>15</v>
      </c>
      <c r="B2" s="18" t="s">
        <v>16</v>
      </c>
      <c r="C2" s="19" t="s">
        <v>17</v>
      </c>
      <c r="D2" s="19" t="s">
        <v>18</v>
      </c>
      <c r="E2" s="19" t="s">
        <v>19</v>
      </c>
      <c r="F2" s="19">
        <v>35</v>
      </c>
      <c r="G2" s="19" t="s">
        <v>20</v>
      </c>
      <c r="H2" s="19" t="s">
        <v>20</v>
      </c>
      <c r="I2" s="19" t="s">
        <v>21</v>
      </c>
      <c r="J2" s="19" t="s">
        <v>22</v>
      </c>
      <c r="K2" s="19">
        <v>1</v>
      </c>
      <c r="L2" s="19">
        <v>1760</v>
      </c>
      <c r="M2" s="19">
        <v>5</v>
      </c>
      <c r="N2" s="19">
        <v>1672</v>
      </c>
      <c r="O2" s="21" t="s">
        <v>23</v>
      </c>
    </row>
    <row r="3" spans="1:15">
      <c r="A3" s="20" t="s">
        <v>24</v>
      </c>
      <c r="B3" s="16" t="s">
        <v>25</v>
      </c>
      <c r="C3" t="s">
        <v>26</v>
      </c>
      <c r="D3" t="s">
        <v>27</v>
      </c>
      <c r="E3" t="s">
        <v>19</v>
      </c>
      <c r="F3">
        <v>23</v>
      </c>
      <c r="G3" t="s">
        <v>28</v>
      </c>
      <c r="H3" t="s">
        <v>29</v>
      </c>
      <c r="I3" t="s">
        <v>30</v>
      </c>
      <c r="J3" t="s">
        <v>31</v>
      </c>
      <c r="K3">
        <v>3</v>
      </c>
      <c r="L3">
        <v>3380</v>
      </c>
      <c r="M3">
        <v>5</v>
      </c>
      <c r="N3">
        <v>9633</v>
      </c>
      <c r="O3" s="22" t="s">
        <v>32</v>
      </c>
    </row>
    <row r="4" ht="15.75" spans="1:21">
      <c r="A4" s="20" t="s">
        <v>33</v>
      </c>
      <c r="B4" s="16" t="s">
        <v>34</v>
      </c>
      <c r="C4" t="s">
        <v>35</v>
      </c>
      <c r="D4" t="s">
        <v>36</v>
      </c>
      <c r="E4" t="s">
        <v>37</v>
      </c>
      <c r="F4">
        <v>25</v>
      </c>
      <c r="G4" t="s">
        <v>38</v>
      </c>
      <c r="H4" t="s">
        <v>39</v>
      </c>
      <c r="I4" t="s">
        <v>30</v>
      </c>
      <c r="J4" t="s">
        <v>31</v>
      </c>
      <c r="K4">
        <v>3</v>
      </c>
      <c r="L4">
        <v>5589</v>
      </c>
      <c r="M4">
        <v>0</v>
      </c>
      <c r="N4">
        <v>16767</v>
      </c>
      <c r="O4" s="22" t="s">
        <v>32</v>
      </c>
      <c r="Q4" s="73" t="s">
        <v>531</v>
      </c>
      <c r="R4" s="73"/>
      <c r="S4" s="73"/>
      <c r="T4" s="73"/>
      <c r="U4" s="73"/>
    </row>
    <row r="5" spans="1:15">
      <c r="A5" s="20" t="s">
        <v>40</v>
      </c>
      <c r="B5" s="16" t="s">
        <v>41</v>
      </c>
      <c r="C5" t="s">
        <v>42</v>
      </c>
      <c r="D5" t="s">
        <v>27</v>
      </c>
      <c r="E5" t="s">
        <v>19</v>
      </c>
      <c r="F5">
        <v>20</v>
      </c>
      <c r="G5" t="s">
        <v>43</v>
      </c>
      <c r="H5" t="s">
        <v>44</v>
      </c>
      <c r="I5" t="s">
        <v>30</v>
      </c>
      <c r="J5" t="s">
        <v>45</v>
      </c>
      <c r="K5">
        <v>4</v>
      </c>
      <c r="L5">
        <v>4631</v>
      </c>
      <c r="M5">
        <v>0</v>
      </c>
      <c r="N5">
        <v>18524</v>
      </c>
      <c r="O5" s="22" t="s">
        <v>32</v>
      </c>
    </row>
    <row r="6" spans="1:19">
      <c r="A6" s="20" t="s">
        <v>46</v>
      </c>
      <c r="B6" s="16" t="s">
        <v>47</v>
      </c>
      <c r="C6" t="s">
        <v>48</v>
      </c>
      <c r="D6" t="s">
        <v>49</v>
      </c>
      <c r="E6" t="s">
        <v>19</v>
      </c>
      <c r="F6">
        <v>43</v>
      </c>
      <c r="G6" t="s">
        <v>50</v>
      </c>
      <c r="H6" t="s">
        <v>51</v>
      </c>
      <c r="I6" t="s">
        <v>30</v>
      </c>
      <c r="J6" t="s">
        <v>52</v>
      </c>
      <c r="K6">
        <v>2</v>
      </c>
      <c r="L6">
        <v>1498</v>
      </c>
      <c r="M6">
        <v>0</v>
      </c>
      <c r="N6">
        <v>2996</v>
      </c>
      <c r="O6" s="22" t="s">
        <v>32</v>
      </c>
      <c r="Q6" s="62" t="s">
        <v>9</v>
      </c>
      <c r="R6" s="62" t="s">
        <v>14</v>
      </c>
      <c r="S6" s="62" t="s">
        <v>532</v>
      </c>
    </row>
    <row r="7" spans="1:19">
      <c r="A7" s="20" t="s">
        <v>53</v>
      </c>
      <c r="B7" s="16" t="s">
        <v>54</v>
      </c>
      <c r="C7" t="s">
        <v>55</v>
      </c>
      <c r="D7" t="s">
        <v>56</v>
      </c>
      <c r="E7" t="s">
        <v>37</v>
      </c>
      <c r="F7">
        <v>20</v>
      </c>
      <c r="G7" t="s">
        <v>57</v>
      </c>
      <c r="H7" t="s">
        <v>58</v>
      </c>
      <c r="I7" t="s">
        <v>59</v>
      </c>
      <c r="J7" t="s">
        <v>60</v>
      </c>
      <c r="K7">
        <v>5</v>
      </c>
      <c r="L7">
        <v>2058</v>
      </c>
      <c r="M7">
        <v>10</v>
      </c>
      <c r="N7">
        <v>9261</v>
      </c>
      <c r="O7" s="22" t="s">
        <v>61</v>
      </c>
      <c r="Q7" s="63" t="s">
        <v>45</v>
      </c>
      <c r="R7" s="64" t="s">
        <v>23</v>
      </c>
      <c r="S7" s="64">
        <f>SUMIFS(N1:N151,J1:J151,Q7,O1:O151,R7)</f>
        <v>7303.6</v>
      </c>
    </row>
    <row r="8" spans="1:15">
      <c r="A8" s="20" t="s">
        <v>62</v>
      </c>
      <c r="B8" s="16" t="s">
        <v>63</v>
      </c>
      <c r="C8" t="s">
        <v>64</v>
      </c>
      <c r="D8" t="s">
        <v>36</v>
      </c>
      <c r="E8" t="s">
        <v>37</v>
      </c>
      <c r="F8">
        <v>20</v>
      </c>
      <c r="G8" t="s">
        <v>38</v>
      </c>
      <c r="H8" t="s">
        <v>39</v>
      </c>
      <c r="I8" t="s">
        <v>30</v>
      </c>
      <c r="J8" t="s">
        <v>52</v>
      </c>
      <c r="K8">
        <v>3</v>
      </c>
      <c r="L8">
        <v>3392</v>
      </c>
      <c r="M8">
        <v>0</v>
      </c>
      <c r="N8">
        <v>10176</v>
      </c>
      <c r="O8" s="22" t="s">
        <v>65</v>
      </c>
    </row>
    <row r="9" spans="1:15">
      <c r="A9" s="20" t="s">
        <v>66</v>
      </c>
      <c r="B9" s="16" t="s">
        <v>67</v>
      </c>
      <c r="C9" t="s">
        <v>68</v>
      </c>
      <c r="D9" t="s">
        <v>69</v>
      </c>
      <c r="E9" t="s">
        <v>37</v>
      </c>
      <c r="F9">
        <v>31</v>
      </c>
      <c r="G9" t="s">
        <v>70</v>
      </c>
      <c r="H9" t="s">
        <v>70</v>
      </c>
      <c r="I9" t="s">
        <v>59</v>
      </c>
      <c r="J9" t="s">
        <v>71</v>
      </c>
      <c r="K9">
        <v>5</v>
      </c>
      <c r="L9">
        <v>3267</v>
      </c>
      <c r="M9">
        <v>5</v>
      </c>
      <c r="N9">
        <v>15518.25</v>
      </c>
      <c r="O9" s="22" t="s">
        <v>32</v>
      </c>
    </row>
    <row r="10" spans="1:15">
      <c r="A10" s="20" t="s">
        <v>72</v>
      </c>
      <c r="B10" s="16" t="s">
        <v>73</v>
      </c>
      <c r="C10" t="s">
        <v>74</v>
      </c>
      <c r="D10" t="s">
        <v>75</v>
      </c>
      <c r="E10" t="s">
        <v>19</v>
      </c>
      <c r="F10">
        <v>48</v>
      </c>
      <c r="G10" t="s">
        <v>70</v>
      </c>
      <c r="H10" t="s">
        <v>70</v>
      </c>
      <c r="I10" t="s">
        <v>30</v>
      </c>
      <c r="J10" t="s">
        <v>76</v>
      </c>
      <c r="K10">
        <v>4</v>
      </c>
      <c r="L10">
        <v>4493</v>
      </c>
      <c r="M10">
        <v>15</v>
      </c>
      <c r="N10">
        <v>15276.2</v>
      </c>
      <c r="O10" s="22" t="s">
        <v>23</v>
      </c>
    </row>
    <row r="11" ht="15.75" spans="1:20">
      <c r="A11" s="20" t="s">
        <v>77</v>
      </c>
      <c r="B11" s="16" t="s">
        <v>78</v>
      </c>
      <c r="C11" t="s">
        <v>79</v>
      </c>
      <c r="D11" t="s">
        <v>80</v>
      </c>
      <c r="E11" t="s">
        <v>19</v>
      </c>
      <c r="F11">
        <v>37</v>
      </c>
      <c r="G11" t="s">
        <v>81</v>
      </c>
      <c r="H11" t="s">
        <v>82</v>
      </c>
      <c r="I11" t="s">
        <v>83</v>
      </c>
      <c r="J11" t="s">
        <v>84</v>
      </c>
      <c r="K11">
        <v>4</v>
      </c>
      <c r="L11">
        <v>4100</v>
      </c>
      <c r="M11">
        <v>15</v>
      </c>
      <c r="N11">
        <v>13940</v>
      </c>
      <c r="O11" s="22" t="s">
        <v>32</v>
      </c>
      <c r="Q11" s="73" t="s">
        <v>533</v>
      </c>
      <c r="R11" s="73"/>
      <c r="S11" s="73"/>
      <c r="T11" s="73"/>
    </row>
    <row r="12" spans="1:15">
      <c r="A12" s="20" t="s">
        <v>85</v>
      </c>
      <c r="B12" s="16" t="s">
        <v>86</v>
      </c>
      <c r="C12" t="s">
        <v>87</v>
      </c>
      <c r="D12" t="s">
        <v>27</v>
      </c>
      <c r="E12" t="s">
        <v>19</v>
      </c>
      <c r="F12">
        <v>22</v>
      </c>
      <c r="G12" t="s">
        <v>43</v>
      </c>
      <c r="H12" t="s">
        <v>44</v>
      </c>
      <c r="I12" t="s">
        <v>30</v>
      </c>
      <c r="J12" t="s">
        <v>52</v>
      </c>
      <c r="K12">
        <v>1</v>
      </c>
      <c r="L12">
        <v>5984</v>
      </c>
      <c r="M12">
        <v>20</v>
      </c>
      <c r="N12">
        <v>4787.2</v>
      </c>
      <c r="O12" s="22" t="s">
        <v>65</v>
      </c>
    </row>
    <row r="13" spans="1:18">
      <c r="A13" s="20" t="s">
        <v>88</v>
      </c>
      <c r="B13" s="16" t="s">
        <v>89</v>
      </c>
      <c r="C13" t="s">
        <v>90</v>
      </c>
      <c r="D13" t="s">
        <v>91</v>
      </c>
      <c r="E13" t="s">
        <v>37</v>
      </c>
      <c r="F13">
        <v>44</v>
      </c>
      <c r="G13" t="s">
        <v>81</v>
      </c>
      <c r="H13" t="s">
        <v>82</v>
      </c>
      <c r="I13" t="s">
        <v>83</v>
      </c>
      <c r="J13" t="s">
        <v>92</v>
      </c>
      <c r="K13">
        <v>5</v>
      </c>
      <c r="L13">
        <v>7377</v>
      </c>
      <c r="M13">
        <v>10</v>
      </c>
      <c r="N13">
        <v>33196.5</v>
      </c>
      <c r="O13" s="22" t="s">
        <v>23</v>
      </c>
      <c r="Q13" s="62" t="s">
        <v>7</v>
      </c>
      <c r="R13" s="62" t="s">
        <v>534</v>
      </c>
    </row>
    <row r="14" spans="1:18">
      <c r="A14" s="20" t="s">
        <v>93</v>
      </c>
      <c r="B14" s="16" t="s">
        <v>94</v>
      </c>
      <c r="C14" t="s">
        <v>95</v>
      </c>
      <c r="D14" t="s">
        <v>18</v>
      </c>
      <c r="E14" t="s">
        <v>19</v>
      </c>
      <c r="F14">
        <v>44</v>
      </c>
      <c r="G14" t="s">
        <v>28</v>
      </c>
      <c r="H14" t="s">
        <v>29</v>
      </c>
      <c r="I14" t="s">
        <v>30</v>
      </c>
      <c r="J14" t="s">
        <v>96</v>
      </c>
      <c r="K14">
        <v>4</v>
      </c>
      <c r="L14">
        <v>6272</v>
      </c>
      <c r="M14">
        <v>10</v>
      </c>
      <c r="N14">
        <v>22579.2</v>
      </c>
      <c r="O14" s="22" t="s">
        <v>65</v>
      </c>
      <c r="Q14" s="64" t="s">
        <v>39</v>
      </c>
      <c r="R14" s="64">
        <f>COUNTIF(H:H,Q14)</f>
        <v>16</v>
      </c>
    </row>
    <row r="15" spans="1:15">
      <c r="A15" s="20" t="s">
        <v>97</v>
      </c>
      <c r="B15" s="16" t="s">
        <v>98</v>
      </c>
      <c r="C15" t="s">
        <v>99</v>
      </c>
      <c r="D15" t="s">
        <v>69</v>
      </c>
      <c r="E15" t="s">
        <v>37</v>
      </c>
      <c r="F15">
        <v>28</v>
      </c>
      <c r="G15" t="s">
        <v>100</v>
      </c>
      <c r="H15" t="s">
        <v>101</v>
      </c>
      <c r="I15" t="s">
        <v>59</v>
      </c>
      <c r="J15" t="s">
        <v>71</v>
      </c>
      <c r="K15">
        <v>4</v>
      </c>
      <c r="L15">
        <v>6200</v>
      </c>
      <c r="M15">
        <v>0</v>
      </c>
      <c r="N15">
        <v>24800</v>
      </c>
      <c r="O15" s="22" t="s">
        <v>23</v>
      </c>
    </row>
    <row r="16" spans="1:15">
      <c r="A16" s="20" t="s">
        <v>102</v>
      </c>
      <c r="B16" s="16" t="s">
        <v>103</v>
      </c>
      <c r="C16" t="s">
        <v>104</v>
      </c>
      <c r="D16" t="s">
        <v>105</v>
      </c>
      <c r="E16" t="s">
        <v>37</v>
      </c>
      <c r="F16">
        <v>38</v>
      </c>
      <c r="G16" t="s">
        <v>43</v>
      </c>
      <c r="H16" t="s">
        <v>44</v>
      </c>
      <c r="I16" t="s">
        <v>83</v>
      </c>
      <c r="J16" t="s">
        <v>92</v>
      </c>
      <c r="K16">
        <v>4</v>
      </c>
      <c r="L16">
        <v>5435</v>
      </c>
      <c r="M16">
        <v>20</v>
      </c>
      <c r="N16">
        <v>17392</v>
      </c>
      <c r="O16" s="22" t="s">
        <v>23</v>
      </c>
    </row>
    <row r="17" spans="1:15">
      <c r="A17" s="20" t="s">
        <v>106</v>
      </c>
      <c r="B17" s="16" t="s">
        <v>107</v>
      </c>
      <c r="C17" t="s">
        <v>108</v>
      </c>
      <c r="D17" t="s">
        <v>109</v>
      </c>
      <c r="E17" t="s">
        <v>19</v>
      </c>
      <c r="F17">
        <v>22</v>
      </c>
      <c r="G17" t="s">
        <v>43</v>
      </c>
      <c r="H17" t="s">
        <v>44</v>
      </c>
      <c r="I17" t="s">
        <v>59</v>
      </c>
      <c r="J17" t="s">
        <v>110</v>
      </c>
      <c r="K17">
        <v>3</v>
      </c>
      <c r="L17">
        <v>933</v>
      </c>
      <c r="M17">
        <v>20</v>
      </c>
      <c r="N17">
        <v>2239.2</v>
      </c>
      <c r="O17" s="22" t="s">
        <v>23</v>
      </c>
    </row>
    <row r="18" spans="1:22">
      <c r="A18" s="20" t="s">
        <v>111</v>
      </c>
      <c r="B18" s="16" t="s">
        <v>112</v>
      </c>
      <c r="C18" t="s">
        <v>113</v>
      </c>
      <c r="D18" t="s">
        <v>114</v>
      </c>
      <c r="E18" t="s">
        <v>37</v>
      </c>
      <c r="F18">
        <v>23</v>
      </c>
      <c r="G18" t="s">
        <v>38</v>
      </c>
      <c r="H18" t="s">
        <v>39</v>
      </c>
      <c r="I18" t="s">
        <v>83</v>
      </c>
      <c r="J18" t="s">
        <v>92</v>
      </c>
      <c r="K18">
        <v>2</v>
      </c>
      <c r="L18">
        <v>1479</v>
      </c>
      <c r="M18">
        <v>20</v>
      </c>
      <c r="N18">
        <v>2366.4</v>
      </c>
      <c r="O18" s="22" t="s">
        <v>65</v>
      </c>
      <c r="Q18" s="74" t="s">
        <v>535</v>
      </c>
      <c r="R18" s="74"/>
      <c r="S18" s="74"/>
      <c r="T18" s="74"/>
      <c r="U18" s="74"/>
      <c r="V18" s="74"/>
    </row>
    <row r="19" spans="1:15">
      <c r="A19" s="20" t="s">
        <v>115</v>
      </c>
      <c r="B19" s="16" t="s">
        <v>116</v>
      </c>
      <c r="C19" t="s">
        <v>117</v>
      </c>
      <c r="D19" t="s">
        <v>36</v>
      </c>
      <c r="E19" t="s">
        <v>37</v>
      </c>
      <c r="F19">
        <v>39</v>
      </c>
      <c r="G19" t="s">
        <v>38</v>
      </c>
      <c r="H19" t="s">
        <v>39</v>
      </c>
      <c r="I19" t="s">
        <v>83</v>
      </c>
      <c r="J19" t="s">
        <v>118</v>
      </c>
      <c r="K19">
        <v>3</v>
      </c>
      <c r="L19">
        <v>3426</v>
      </c>
      <c r="M19">
        <v>20</v>
      </c>
      <c r="N19">
        <v>8222.4</v>
      </c>
      <c r="O19" s="22" t="s">
        <v>32</v>
      </c>
    </row>
    <row r="20" spans="1:19">
      <c r="A20" s="20" t="s">
        <v>119</v>
      </c>
      <c r="B20" s="16" t="s">
        <v>120</v>
      </c>
      <c r="C20" t="s">
        <v>121</v>
      </c>
      <c r="D20" t="s">
        <v>56</v>
      </c>
      <c r="E20" t="s">
        <v>37</v>
      </c>
      <c r="F20">
        <v>24</v>
      </c>
      <c r="G20" t="s">
        <v>20</v>
      </c>
      <c r="H20" t="s">
        <v>20</v>
      </c>
      <c r="I20" t="s">
        <v>21</v>
      </c>
      <c r="J20" t="s">
        <v>22</v>
      </c>
      <c r="K20">
        <v>1</v>
      </c>
      <c r="L20">
        <v>3343</v>
      </c>
      <c r="M20">
        <v>5</v>
      </c>
      <c r="N20">
        <v>3175.85</v>
      </c>
      <c r="O20" s="22" t="s">
        <v>32</v>
      </c>
      <c r="Q20" s="62" t="s">
        <v>8</v>
      </c>
      <c r="R20" s="62" t="s">
        <v>7</v>
      </c>
      <c r="S20" s="62" t="s">
        <v>536</v>
      </c>
    </row>
    <row r="21" spans="1:19">
      <c r="A21" s="20" t="s">
        <v>122</v>
      </c>
      <c r="B21" s="16" t="s">
        <v>123</v>
      </c>
      <c r="C21" t="s">
        <v>124</v>
      </c>
      <c r="D21" t="s">
        <v>125</v>
      </c>
      <c r="E21" t="s">
        <v>37</v>
      </c>
      <c r="F21">
        <v>47</v>
      </c>
      <c r="G21" t="s">
        <v>70</v>
      </c>
      <c r="H21" t="s">
        <v>70</v>
      </c>
      <c r="I21" t="s">
        <v>83</v>
      </c>
      <c r="J21" t="s">
        <v>92</v>
      </c>
      <c r="K21">
        <v>3</v>
      </c>
      <c r="L21">
        <v>7309</v>
      </c>
      <c r="M21">
        <v>15</v>
      </c>
      <c r="N21">
        <v>18637.95</v>
      </c>
      <c r="O21" s="22" t="s">
        <v>65</v>
      </c>
      <c r="Q21" s="64" t="s">
        <v>30</v>
      </c>
      <c r="R21" s="64" t="s">
        <v>82</v>
      </c>
      <c r="S21" s="64">
        <f>SUMIFS(K:K,I:I,Q21,H:H,R21)</f>
        <v>4</v>
      </c>
    </row>
    <row r="22" spans="1:15">
      <c r="A22" s="20" t="s">
        <v>126</v>
      </c>
      <c r="B22" s="16" t="s">
        <v>127</v>
      </c>
      <c r="C22" t="s">
        <v>128</v>
      </c>
      <c r="D22" t="s">
        <v>18</v>
      </c>
      <c r="E22" t="s">
        <v>19</v>
      </c>
      <c r="F22">
        <v>24</v>
      </c>
      <c r="G22" t="s">
        <v>20</v>
      </c>
      <c r="H22" t="s">
        <v>20</v>
      </c>
      <c r="I22" t="s">
        <v>21</v>
      </c>
      <c r="J22" t="s">
        <v>129</v>
      </c>
      <c r="K22">
        <v>5</v>
      </c>
      <c r="L22">
        <v>2286</v>
      </c>
      <c r="M22">
        <v>15</v>
      </c>
      <c r="N22">
        <v>9715.5</v>
      </c>
      <c r="O22" s="22" t="s">
        <v>65</v>
      </c>
    </row>
    <row r="23" spans="1:15">
      <c r="A23" s="20" t="s">
        <v>130</v>
      </c>
      <c r="B23" s="16" t="s">
        <v>131</v>
      </c>
      <c r="C23" t="s">
        <v>132</v>
      </c>
      <c r="D23" t="s">
        <v>49</v>
      </c>
      <c r="E23" t="s">
        <v>19</v>
      </c>
      <c r="F23">
        <v>25</v>
      </c>
      <c r="G23" t="s">
        <v>100</v>
      </c>
      <c r="H23" t="s">
        <v>101</v>
      </c>
      <c r="I23" t="s">
        <v>83</v>
      </c>
      <c r="J23" t="s">
        <v>133</v>
      </c>
      <c r="K23">
        <v>3</v>
      </c>
      <c r="L23">
        <v>5782</v>
      </c>
      <c r="M23">
        <v>5</v>
      </c>
      <c r="N23">
        <v>16478.7</v>
      </c>
      <c r="O23" s="22" t="s">
        <v>61</v>
      </c>
    </row>
    <row r="24" spans="1:15">
      <c r="A24" s="20" t="s">
        <v>134</v>
      </c>
      <c r="B24" s="16" t="s">
        <v>135</v>
      </c>
      <c r="C24" t="s">
        <v>136</v>
      </c>
      <c r="D24" t="s">
        <v>105</v>
      </c>
      <c r="E24" t="s">
        <v>37</v>
      </c>
      <c r="F24">
        <v>23</v>
      </c>
      <c r="G24" t="s">
        <v>57</v>
      </c>
      <c r="H24" t="s">
        <v>58</v>
      </c>
      <c r="I24" t="s">
        <v>59</v>
      </c>
      <c r="J24" t="s">
        <v>110</v>
      </c>
      <c r="K24">
        <v>3</v>
      </c>
      <c r="L24">
        <v>2435</v>
      </c>
      <c r="M24">
        <v>20</v>
      </c>
      <c r="N24">
        <v>5844</v>
      </c>
      <c r="O24" s="22" t="s">
        <v>65</v>
      </c>
    </row>
    <row r="25" spans="1:20">
      <c r="A25" s="20" t="s">
        <v>137</v>
      </c>
      <c r="B25" s="16" t="s">
        <v>138</v>
      </c>
      <c r="C25" t="s">
        <v>139</v>
      </c>
      <c r="D25" t="s">
        <v>18</v>
      </c>
      <c r="E25" t="s">
        <v>19</v>
      </c>
      <c r="F25">
        <v>29</v>
      </c>
      <c r="G25" t="s">
        <v>140</v>
      </c>
      <c r="H25" t="s">
        <v>141</v>
      </c>
      <c r="I25" t="s">
        <v>83</v>
      </c>
      <c r="J25" t="s">
        <v>118</v>
      </c>
      <c r="K25">
        <v>2</v>
      </c>
      <c r="L25">
        <v>7432</v>
      </c>
      <c r="M25">
        <v>10</v>
      </c>
      <c r="N25">
        <v>13377.6</v>
      </c>
      <c r="O25" s="22" t="s">
        <v>65</v>
      </c>
      <c r="Q25" s="74" t="s">
        <v>537</v>
      </c>
      <c r="R25" s="74"/>
      <c r="S25" s="74"/>
      <c r="T25" s="74"/>
    </row>
    <row r="26" spans="1:15">
      <c r="A26" s="20" t="s">
        <v>142</v>
      </c>
      <c r="B26" s="16" t="s">
        <v>143</v>
      </c>
      <c r="C26" t="s">
        <v>144</v>
      </c>
      <c r="D26" t="s">
        <v>145</v>
      </c>
      <c r="E26" t="s">
        <v>19</v>
      </c>
      <c r="F26">
        <v>50</v>
      </c>
      <c r="G26" t="s">
        <v>20</v>
      </c>
      <c r="H26" t="s">
        <v>20</v>
      </c>
      <c r="I26" t="s">
        <v>30</v>
      </c>
      <c r="J26" t="s">
        <v>76</v>
      </c>
      <c r="K26">
        <v>1</v>
      </c>
      <c r="L26">
        <v>3068</v>
      </c>
      <c r="M26">
        <v>10</v>
      </c>
      <c r="N26">
        <v>2761.2</v>
      </c>
      <c r="O26" s="22" t="s">
        <v>61</v>
      </c>
    </row>
    <row r="27" spans="1:19">
      <c r="A27" s="20" t="s">
        <v>146</v>
      </c>
      <c r="B27" s="16" t="s">
        <v>147</v>
      </c>
      <c r="C27" t="s">
        <v>148</v>
      </c>
      <c r="D27" t="s">
        <v>149</v>
      </c>
      <c r="E27" t="s">
        <v>37</v>
      </c>
      <c r="F27">
        <v>36</v>
      </c>
      <c r="G27" t="s">
        <v>57</v>
      </c>
      <c r="H27" t="s">
        <v>58</v>
      </c>
      <c r="I27" t="s">
        <v>30</v>
      </c>
      <c r="J27" t="s">
        <v>52</v>
      </c>
      <c r="K27">
        <v>3</v>
      </c>
      <c r="L27">
        <v>5800</v>
      </c>
      <c r="M27">
        <v>0</v>
      </c>
      <c r="N27">
        <v>17400</v>
      </c>
      <c r="O27" s="22" t="s">
        <v>61</v>
      </c>
      <c r="Q27" s="62" t="s">
        <v>4</v>
      </c>
      <c r="R27" s="62" t="s">
        <v>9</v>
      </c>
      <c r="S27" s="62" t="s">
        <v>536</v>
      </c>
    </row>
    <row r="28" spans="1:19">
      <c r="A28" s="20" t="s">
        <v>150</v>
      </c>
      <c r="B28" s="16" t="s">
        <v>151</v>
      </c>
      <c r="C28" t="s">
        <v>152</v>
      </c>
      <c r="D28" t="s">
        <v>91</v>
      </c>
      <c r="E28" t="s">
        <v>37</v>
      </c>
      <c r="F28">
        <v>35</v>
      </c>
      <c r="G28" t="s">
        <v>50</v>
      </c>
      <c r="H28" t="s">
        <v>51</v>
      </c>
      <c r="I28" t="s">
        <v>83</v>
      </c>
      <c r="J28" t="s">
        <v>84</v>
      </c>
      <c r="K28">
        <v>3</v>
      </c>
      <c r="L28">
        <v>1232</v>
      </c>
      <c r="M28">
        <v>10</v>
      </c>
      <c r="N28">
        <v>3326.4</v>
      </c>
      <c r="O28" s="22" t="s">
        <v>32</v>
      </c>
      <c r="Q28" s="64" t="s">
        <v>37</v>
      </c>
      <c r="R28" s="64" t="s">
        <v>133</v>
      </c>
      <c r="S28" s="64">
        <f>COUNTIFS(E1:E151,Q28,J1:J151,R28)</f>
        <v>4</v>
      </c>
    </row>
    <row r="29" spans="1:15">
      <c r="A29" s="20" t="s">
        <v>153</v>
      </c>
      <c r="B29" s="16" t="s">
        <v>154</v>
      </c>
      <c r="C29" t="s">
        <v>155</v>
      </c>
      <c r="D29" t="s">
        <v>69</v>
      </c>
      <c r="E29" t="s">
        <v>37</v>
      </c>
      <c r="F29">
        <v>35</v>
      </c>
      <c r="G29" t="s">
        <v>50</v>
      </c>
      <c r="H29" t="s">
        <v>51</v>
      </c>
      <c r="I29" t="s">
        <v>30</v>
      </c>
      <c r="J29" t="s">
        <v>52</v>
      </c>
      <c r="K29">
        <v>2</v>
      </c>
      <c r="L29">
        <v>5106</v>
      </c>
      <c r="M29">
        <v>5</v>
      </c>
      <c r="N29">
        <v>9701.4</v>
      </c>
      <c r="O29" s="22" t="s">
        <v>61</v>
      </c>
    </row>
    <row r="30" spans="1:15">
      <c r="A30" s="20" t="s">
        <v>156</v>
      </c>
      <c r="B30" s="16" t="s">
        <v>157</v>
      </c>
      <c r="C30" t="s">
        <v>158</v>
      </c>
      <c r="D30" t="s">
        <v>159</v>
      </c>
      <c r="E30" t="s">
        <v>19</v>
      </c>
      <c r="F30">
        <v>31</v>
      </c>
      <c r="G30" t="s">
        <v>28</v>
      </c>
      <c r="H30" t="s">
        <v>29</v>
      </c>
      <c r="I30" t="s">
        <v>83</v>
      </c>
      <c r="J30" t="s">
        <v>133</v>
      </c>
      <c r="K30">
        <v>1</v>
      </c>
      <c r="L30">
        <v>4246</v>
      </c>
      <c r="M30">
        <v>15</v>
      </c>
      <c r="N30">
        <v>3609.1</v>
      </c>
      <c r="O30" s="22" t="s">
        <v>61</v>
      </c>
    </row>
    <row r="31" spans="1:15">
      <c r="A31" s="20" t="s">
        <v>160</v>
      </c>
      <c r="B31" s="16" t="s">
        <v>161</v>
      </c>
      <c r="C31" t="s">
        <v>162</v>
      </c>
      <c r="D31" t="s">
        <v>163</v>
      </c>
      <c r="E31" t="s">
        <v>19</v>
      </c>
      <c r="F31">
        <v>50</v>
      </c>
      <c r="G31" t="s">
        <v>100</v>
      </c>
      <c r="H31" t="s">
        <v>101</v>
      </c>
      <c r="I31" t="s">
        <v>83</v>
      </c>
      <c r="J31" t="s">
        <v>164</v>
      </c>
      <c r="K31">
        <v>3</v>
      </c>
      <c r="L31">
        <v>2000</v>
      </c>
      <c r="M31">
        <v>15</v>
      </c>
      <c r="N31">
        <v>5100</v>
      </c>
      <c r="O31" s="22" t="s">
        <v>61</v>
      </c>
    </row>
    <row r="32" spans="1:15">
      <c r="A32" s="20" t="s">
        <v>165</v>
      </c>
      <c r="B32" s="16" t="s">
        <v>166</v>
      </c>
      <c r="C32" t="s">
        <v>167</v>
      </c>
      <c r="D32" t="s">
        <v>18</v>
      </c>
      <c r="E32" t="s">
        <v>19</v>
      </c>
      <c r="F32">
        <v>50</v>
      </c>
      <c r="G32" t="s">
        <v>140</v>
      </c>
      <c r="H32" t="s">
        <v>141</v>
      </c>
      <c r="I32" t="s">
        <v>21</v>
      </c>
      <c r="J32" t="s">
        <v>129</v>
      </c>
      <c r="K32">
        <v>2</v>
      </c>
      <c r="L32">
        <v>254</v>
      </c>
      <c r="M32">
        <v>0</v>
      </c>
      <c r="N32">
        <v>508</v>
      </c>
      <c r="O32" s="22" t="s">
        <v>61</v>
      </c>
    </row>
    <row r="33" spans="1:15">
      <c r="A33" s="20" t="s">
        <v>168</v>
      </c>
      <c r="B33" s="16" t="s">
        <v>169</v>
      </c>
      <c r="C33" t="s">
        <v>170</v>
      </c>
      <c r="D33" t="s">
        <v>56</v>
      </c>
      <c r="E33" t="s">
        <v>37</v>
      </c>
      <c r="F33">
        <v>43</v>
      </c>
      <c r="G33" t="s">
        <v>43</v>
      </c>
      <c r="H33" t="s">
        <v>44</v>
      </c>
      <c r="I33" t="s">
        <v>59</v>
      </c>
      <c r="J33" t="s">
        <v>171</v>
      </c>
      <c r="K33">
        <v>5</v>
      </c>
      <c r="L33">
        <v>6436</v>
      </c>
      <c r="M33">
        <v>20</v>
      </c>
      <c r="N33">
        <v>25744</v>
      </c>
      <c r="O33" s="22" t="s">
        <v>61</v>
      </c>
    </row>
    <row r="34" spans="1:15">
      <c r="A34" s="20" t="s">
        <v>172</v>
      </c>
      <c r="B34" s="16" t="s">
        <v>173</v>
      </c>
      <c r="C34" t="s">
        <v>174</v>
      </c>
      <c r="D34" t="s">
        <v>56</v>
      </c>
      <c r="E34" t="s">
        <v>37</v>
      </c>
      <c r="F34">
        <v>49</v>
      </c>
      <c r="G34" t="s">
        <v>140</v>
      </c>
      <c r="H34" t="s">
        <v>141</v>
      </c>
      <c r="I34" t="s">
        <v>21</v>
      </c>
      <c r="J34" t="s">
        <v>22</v>
      </c>
      <c r="K34">
        <v>5</v>
      </c>
      <c r="L34">
        <v>6440</v>
      </c>
      <c r="M34">
        <v>10</v>
      </c>
      <c r="N34">
        <v>28980</v>
      </c>
      <c r="O34" s="22" t="s">
        <v>65</v>
      </c>
    </row>
    <row r="35" spans="1:15">
      <c r="A35" s="20" t="s">
        <v>175</v>
      </c>
      <c r="B35" s="16" t="s">
        <v>176</v>
      </c>
      <c r="C35" t="s">
        <v>177</v>
      </c>
      <c r="D35" t="s">
        <v>49</v>
      </c>
      <c r="E35" t="s">
        <v>19</v>
      </c>
      <c r="F35">
        <v>20</v>
      </c>
      <c r="G35" t="s">
        <v>70</v>
      </c>
      <c r="H35" t="s">
        <v>70</v>
      </c>
      <c r="I35" t="s">
        <v>21</v>
      </c>
      <c r="J35" t="s">
        <v>129</v>
      </c>
      <c r="K35">
        <v>3</v>
      </c>
      <c r="L35">
        <v>329</v>
      </c>
      <c r="M35">
        <v>10</v>
      </c>
      <c r="N35">
        <v>888.3</v>
      </c>
      <c r="O35" s="22" t="s">
        <v>32</v>
      </c>
    </row>
    <row r="36" spans="1:15">
      <c r="A36" s="20" t="s">
        <v>178</v>
      </c>
      <c r="B36" s="16" t="s">
        <v>179</v>
      </c>
      <c r="C36" t="s">
        <v>180</v>
      </c>
      <c r="D36" t="s">
        <v>69</v>
      </c>
      <c r="E36" t="s">
        <v>37</v>
      </c>
      <c r="F36">
        <v>39</v>
      </c>
      <c r="G36" t="s">
        <v>28</v>
      </c>
      <c r="H36" t="s">
        <v>29</v>
      </c>
      <c r="I36" t="s">
        <v>21</v>
      </c>
      <c r="J36" t="s">
        <v>22</v>
      </c>
      <c r="K36">
        <v>3</v>
      </c>
      <c r="L36">
        <v>3615</v>
      </c>
      <c r="M36">
        <v>10</v>
      </c>
      <c r="N36">
        <v>9760.5</v>
      </c>
      <c r="O36" s="22" t="s">
        <v>23</v>
      </c>
    </row>
    <row r="37" spans="1:15">
      <c r="A37" s="20" t="s">
        <v>181</v>
      </c>
      <c r="B37" s="16" t="s">
        <v>182</v>
      </c>
      <c r="C37" t="s">
        <v>183</v>
      </c>
      <c r="D37" t="s">
        <v>36</v>
      </c>
      <c r="E37" t="s">
        <v>37</v>
      </c>
      <c r="F37">
        <v>24</v>
      </c>
      <c r="G37" t="s">
        <v>70</v>
      </c>
      <c r="H37" t="s">
        <v>70</v>
      </c>
      <c r="I37" t="s">
        <v>30</v>
      </c>
      <c r="J37" t="s">
        <v>76</v>
      </c>
      <c r="K37">
        <v>5</v>
      </c>
      <c r="L37">
        <v>2853</v>
      </c>
      <c r="M37">
        <v>20</v>
      </c>
      <c r="N37">
        <v>11412</v>
      </c>
      <c r="O37" s="22" t="s">
        <v>32</v>
      </c>
    </row>
    <row r="38" spans="1:15">
      <c r="A38" s="20" t="s">
        <v>184</v>
      </c>
      <c r="B38" s="16" t="s">
        <v>185</v>
      </c>
      <c r="C38" t="s">
        <v>186</v>
      </c>
      <c r="D38" t="s">
        <v>56</v>
      </c>
      <c r="E38" t="s">
        <v>37</v>
      </c>
      <c r="F38">
        <v>48</v>
      </c>
      <c r="G38" t="s">
        <v>28</v>
      </c>
      <c r="H38" t="s">
        <v>29</v>
      </c>
      <c r="I38" t="s">
        <v>83</v>
      </c>
      <c r="J38" t="s">
        <v>92</v>
      </c>
      <c r="K38">
        <v>3</v>
      </c>
      <c r="L38">
        <v>5019</v>
      </c>
      <c r="M38">
        <v>20</v>
      </c>
      <c r="N38">
        <v>12045.6</v>
      </c>
      <c r="O38" s="22" t="s">
        <v>61</v>
      </c>
    </row>
    <row r="39" spans="1:15">
      <c r="A39" s="20" t="s">
        <v>187</v>
      </c>
      <c r="B39" s="16" t="s">
        <v>188</v>
      </c>
      <c r="C39" t="s">
        <v>189</v>
      </c>
      <c r="D39" t="s">
        <v>159</v>
      </c>
      <c r="E39" t="s">
        <v>19</v>
      </c>
      <c r="F39">
        <v>36</v>
      </c>
      <c r="G39" t="s">
        <v>140</v>
      </c>
      <c r="H39" t="s">
        <v>141</v>
      </c>
      <c r="I39" t="s">
        <v>21</v>
      </c>
      <c r="J39" t="s">
        <v>190</v>
      </c>
      <c r="K39">
        <v>3</v>
      </c>
      <c r="L39">
        <v>2835</v>
      </c>
      <c r="M39">
        <v>15</v>
      </c>
      <c r="N39">
        <v>7229.25</v>
      </c>
      <c r="O39" s="22" t="s">
        <v>23</v>
      </c>
    </row>
    <row r="40" spans="1:15">
      <c r="A40" s="20" t="s">
        <v>191</v>
      </c>
      <c r="B40" s="16" t="s">
        <v>192</v>
      </c>
      <c r="C40" t="s">
        <v>193</v>
      </c>
      <c r="D40" t="s">
        <v>125</v>
      </c>
      <c r="E40" t="s">
        <v>37</v>
      </c>
      <c r="F40">
        <v>25</v>
      </c>
      <c r="G40" t="s">
        <v>38</v>
      </c>
      <c r="H40" t="s">
        <v>39</v>
      </c>
      <c r="I40" t="s">
        <v>30</v>
      </c>
      <c r="J40" t="s">
        <v>76</v>
      </c>
      <c r="K40">
        <v>4</v>
      </c>
      <c r="L40">
        <v>7527</v>
      </c>
      <c r="M40">
        <v>20</v>
      </c>
      <c r="N40">
        <v>24086.4</v>
      </c>
      <c r="O40" s="22" t="s">
        <v>32</v>
      </c>
    </row>
    <row r="41" spans="1:15">
      <c r="A41" s="20" t="s">
        <v>194</v>
      </c>
      <c r="B41" s="16" t="s">
        <v>195</v>
      </c>
      <c r="C41" t="s">
        <v>196</v>
      </c>
      <c r="D41" t="s">
        <v>114</v>
      </c>
      <c r="E41" t="s">
        <v>37</v>
      </c>
      <c r="F41">
        <v>39</v>
      </c>
      <c r="G41" t="s">
        <v>20</v>
      </c>
      <c r="H41" t="s">
        <v>20</v>
      </c>
      <c r="I41" t="s">
        <v>21</v>
      </c>
      <c r="J41" t="s">
        <v>197</v>
      </c>
      <c r="K41">
        <v>5</v>
      </c>
      <c r="L41">
        <v>4784</v>
      </c>
      <c r="M41">
        <v>15</v>
      </c>
      <c r="N41">
        <v>20332</v>
      </c>
      <c r="O41" s="22" t="s">
        <v>61</v>
      </c>
    </row>
    <row r="42" spans="1:15">
      <c r="A42" s="20" t="s">
        <v>198</v>
      </c>
      <c r="B42" s="16" t="s">
        <v>199</v>
      </c>
      <c r="C42" t="s">
        <v>200</v>
      </c>
      <c r="D42" t="s">
        <v>149</v>
      </c>
      <c r="E42" t="s">
        <v>37</v>
      </c>
      <c r="F42">
        <v>32</v>
      </c>
      <c r="G42" t="s">
        <v>57</v>
      </c>
      <c r="H42" t="s">
        <v>58</v>
      </c>
      <c r="I42" t="s">
        <v>83</v>
      </c>
      <c r="J42" t="s">
        <v>164</v>
      </c>
      <c r="K42">
        <v>5</v>
      </c>
      <c r="L42">
        <v>6474</v>
      </c>
      <c r="M42">
        <v>10</v>
      </c>
      <c r="N42">
        <v>29133</v>
      </c>
      <c r="O42" s="22" t="s">
        <v>32</v>
      </c>
    </row>
    <row r="43" spans="1:15">
      <c r="A43" s="20" t="s">
        <v>201</v>
      </c>
      <c r="B43" s="16" t="s">
        <v>202</v>
      </c>
      <c r="C43" t="s">
        <v>203</v>
      </c>
      <c r="D43" t="s">
        <v>204</v>
      </c>
      <c r="E43" t="s">
        <v>37</v>
      </c>
      <c r="F43">
        <v>22</v>
      </c>
      <c r="G43" t="s">
        <v>57</v>
      </c>
      <c r="H43" t="s">
        <v>58</v>
      </c>
      <c r="I43" t="s">
        <v>30</v>
      </c>
      <c r="J43" t="s">
        <v>31</v>
      </c>
      <c r="K43">
        <v>5</v>
      </c>
      <c r="L43">
        <v>3694</v>
      </c>
      <c r="M43">
        <v>10</v>
      </c>
      <c r="N43">
        <v>16623</v>
      </c>
      <c r="O43" s="22" t="s">
        <v>65</v>
      </c>
    </row>
    <row r="44" spans="1:15">
      <c r="A44" s="20" t="s">
        <v>205</v>
      </c>
      <c r="B44" s="16" t="s">
        <v>206</v>
      </c>
      <c r="C44" t="s">
        <v>207</v>
      </c>
      <c r="D44" t="s">
        <v>49</v>
      </c>
      <c r="E44" t="s">
        <v>19</v>
      </c>
      <c r="F44">
        <v>49</v>
      </c>
      <c r="G44" t="s">
        <v>38</v>
      </c>
      <c r="H44" t="s">
        <v>39</v>
      </c>
      <c r="I44" t="s">
        <v>59</v>
      </c>
      <c r="J44" t="s">
        <v>171</v>
      </c>
      <c r="K44">
        <v>5</v>
      </c>
      <c r="L44">
        <v>2881</v>
      </c>
      <c r="M44">
        <v>20</v>
      </c>
      <c r="N44">
        <v>11524</v>
      </c>
      <c r="O44" s="22" t="s">
        <v>61</v>
      </c>
    </row>
    <row r="45" spans="1:15">
      <c r="A45" s="20" t="s">
        <v>208</v>
      </c>
      <c r="B45" s="16" t="s">
        <v>209</v>
      </c>
      <c r="C45" t="s">
        <v>210</v>
      </c>
      <c r="D45" t="s">
        <v>91</v>
      </c>
      <c r="E45" t="s">
        <v>37</v>
      </c>
      <c r="F45">
        <v>23</v>
      </c>
      <c r="G45" t="s">
        <v>50</v>
      </c>
      <c r="H45" t="s">
        <v>51</v>
      </c>
      <c r="I45" t="s">
        <v>59</v>
      </c>
      <c r="J45" t="s">
        <v>60</v>
      </c>
      <c r="K45">
        <v>1</v>
      </c>
      <c r="L45">
        <v>7464</v>
      </c>
      <c r="M45">
        <v>10</v>
      </c>
      <c r="N45">
        <v>6717.6</v>
      </c>
      <c r="O45" s="22" t="s">
        <v>32</v>
      </c>
    </row>
    <row r="46" spans="1:15">
      <c r="A46" s="20" t="s">
        <v>211</v>
      </c>
      <c r="B46" s="16" t="s">
        <v>212</v>
      </c>
      <c r="C46" t="s">
        <v>213</v>
      </c>
      <c r="D46" t="s">
        <v>109</v>
      </c>
      <c r="E46" t="s">
        <v>19</v>
      </c>
      <c r="F46">
        <v>47</v>
      </c>
      <c r="G46" t="s">
        <v>50</v>
      </c>
      <c r="H46" t="s">
        <v>51</v>
      </c>
      <c r="I46" t="s">
        <v>21</v>
      </c>
      <c r="J46" t="s">
        <v>22</v>
      </c>
      <c r="K46">
        <v>1</v>
      </c>
      <c r="L46">
        <v>7619</v>
      </c>
      <c r="M46">
        <v>10</v>
      </c>
      <c r="N46">
        <v>6857.1</v>
      </c>
      <c r="O46" s="22" t="s">
        <v>23</v>
      </c>
    </row>
    <row r="47" spans="1:15">
      <c r="A47" s="20" t="s">
        <v>214</v>
      </c>
      <c r="B47" s="16" t="s">
        <v>215</v>
      </c>
      <c r="C47" t="s">
        <v>216</v>
      </c>
      <c r="D47" t="s">
        <v>36</v>
      </c>
      <c r="E47" t="s">
        <v>37</v>
      </c>
      <c r="F47">
        <v>23</v>
      </c>
      <c r="G47" t="s">
        <v>140</v>
      </c>
      <c r="H47" t="s">
        <v>141</v>
      </c>
      <c r="I47" t="s">
        <v>30</v>
      </c>
      <c r="J47" t="s">
        <v>45</v>
      </c>
      <c r="K47">
        <v>2</v>
      </c>
      <c r="L47">
        <v>1087</v>
      </c>
      <c r="M47">
        <v>15</v>
      </c>
      <c r="N47">
        <v>1847.9</v>
      </c>
      <c r="O47" s="22" t="s">
        <v>61</v>
      </c>
    </row>
    <row r="48" spans="1:15">
      <c r="A48" s="20" t="s">
        <v>217</v>
      </c>
      <c r="B48" s="16" t="s">
        <v>218</v>
      </c>
      <c r="C48" t="s">
        <v>219</v>
      </c>
      <c r="D48" t="s">
        <v>204</v>
      </c>
      <c r="E48" t="s">
        <v>37</v>
      </c>
      <c r="F48">
        <v>40</v>
      </c>
      <c r="G48" t="s">
        <v>57</v>
      </c>
      <c r="H48" t="s">
        <v>58</v>
      </c>
      <c r="I48" t="s">
        <v>21</v>
      </c>
      <c r="J48" t="s">
        <v>197</v>
      </c>
      <c r="K48">
        <v>1</v>
      </c>
      <c r="L48">
        <v>6578</v>
      </c>
      <c r="M48">
        <v>5</v>
      </c>
      <c r="N48">
        <v>6249.1</v>
      </c>
      <c r="O48" s="22" t="s">
        <v>65</v>
      </c>
    </row>
    <row r="49" spans="1:15">
      <c r="A49" s="20" t="s">
        <v>220</v>
      </c>
      <c r="B49" s="16" t="s">
        <v>221</v>
      </c>
      <c r="C49" t="s">
        <v>222</v>
      </c>
      <c r="D49" t="s">
        <v>149</v>
      </c>
      <c r="E49" t="s">
        <v>37</v>
      </c>
      <c r="F49">
        <v>40</v>
      </c>
      <c r="G49" t="s">
        <v>38</v>
      </c>
      <c r="H49" t="s">
        <v>39</v>
      </c>
      <c r="I49" t="s">
        <v>21</v>
      </c>
      <c r="J49" t="s">
        <v>190</v>
      </c>
      <c r="K49">
        <v>3</v>
      </c>
      <c r="L49">
        <v>1977</v>
      </c>
      <c r="M49">
        <v>0</v>
      </c>
      <c r="N49">
        <v>5931</v>
      </c>
      <c r="O49" s="22" t="s">
        <v>32</v>
      </c>
    </row>
    <row r="50" spans="1:15">
      <c r="A50" s="20" t="s">
        <v>223</v>
      </c>
      <c r="B50" s="16" t="s">
        <v>224</v>
      </c>
      <c r="C50" t="s">
        <v>225</v>
      </c>
      <c r="D50" t="s">
        <v>75</v>
      </c>
      <c r="E50" t="s">
        <v>19</v>
      </c>
      <c r="F50">
        <v>26</v>
      </c>
      <c r="G50" t="s">
        <v>43</v>
      </c>
      <c r="H50" t="s">
        <v>44</v>
      </c>
      <c r="I50" t="s">
        <v>30</v>
      </c>
      <c r="J50" t="s">
        <v>76</v>
      </c>
      <c r="K50">
        <v>4</v>
      </c>
      <c r="L50">
        <v>2464</v>
      </c>
      <c r="M50">
        <v>0</v>
      </c>
      <c r="N50">
        <v>9856</v>
      </c>
      <c r="O50" s="22" t="s">
        <v>65</v>
      </c>
    </row>
    <row r="51" spans="1:15">
      <c r="A51" s="20" t="s">
        <v>226</v>
      </c>
      <c r="B51" s="16" t="s">
        <v>227</v>
      </c>
      <c r="C51" t="s">
        <v>228</v>
      </c>
      <c r="D51" t="s">
        <v>69</v>
      </c>
      <c r="E51" t="s">
        <v>37</v>
      </c>
      <c r="F51">
        <v>36</v>
      </c>
      <c r="G51" t="s">
        <v>81</v>
      </c>
      <c r="H51" t="s">
        <v>82</v>
      </c>
      <c r="I51" t="s">
        <v>59</v>
      </c>
      <c r="J51" t="s">
        <v>110</v>
      </c>
      <c r="K51">
        <v>1</v>
      </c>
      <c r="L51">
        <v>456</v>
      </c>
      <c r="M51">
        <v>5</v>
      </c>
      <c r="N51">
        <v>433.2</v>
      </c>
      <c r="O51" s="22" t="s">
        <v>65</v>
      </c>
    </row>
    <row r="52" spans="1:15">
      <c r="A52" s="20" t="s">
        <v>229</v>
      </c>
      <c r="B52" s="16" t="s">
        <v>230</v>
      </c>
      <c r="C52" t="s">
        <v>231</v>
      </c>
      <c r="D52" t="s">
        <v>105</v>
      </c>
      <c r="E52" t="s">
        <v>37</v>
      </c>
      <c r="F52">
        <v>39</v>
      </c>
      <c r="G52" t="s">
        <v>57</v>
      </c>
      <c r="H52" t="s">
        <v>58</v>
      </c>
      <c r="I52" t="s">
        <v>30</v>
      </c>
      <c r="J52" t="s">
        <v>31</v>
      </c>
      <c r="K52">
        <v>2</v>
      </c>
      <c r="L52">
        <v>3284</v>
      </c>
      <c r="M52">
        <v>15</v>
      </c>
      <c r="N52">
        <v>5582.8</v>
      </c>
      <c r="O52" s="22" t="s">
        <v>23</v>
      </c>
    </row>
    <row r="53" spans="1:15">
      <c r="A53" s="20" t="s">
        <v>232</v>
      </c>
      <c r="B53" s="16" t="s">
        <v>233</v>
      </c>
      <c r="C53" t="s">
        <v>234</v>
      </c>
      <c r="D53" t="s">
        <v>114</v>
      </c>
      <c r="E53" t="s">
        <v>37</v>
      </c>
      <c r="F53">
        <v>27</v>
      </c>
      <c r="G53" t="s">
        <v>70</v>
      </c>
      <c r="H53" t="s">
        <v>70</v>
      </c>
      <c r="I53" t="s">
        <v>83</v>
      </c>
      <c r="J53" t="s">
        <v>92</v>
      </c>
      <c r="K53">
        <v>5</v>
      </c>
      <c r="L53">
        <v>6912</v>
      </c>
      <c r="M53">
        <v>0</v>
      </c>
      <c r="N53">
        <v>34560</v>
      </c>
      <c r="O53" s="22" t="s">
        <v>23</v>
      </c>
    </row>
    <row r="54" spans="1:15">
      <c r="A54" s="20" t="s">
        <v>235</v>
      </c>
      <c r="B54" s="16" t="s">
        <v>236</v>
      </c>
      <c r="C54" t="s">
        <v>237</v>
      </c>
      <c r="D54" t="s">
        <v>18</v>
      </c>
      <c r="E54" t="s">
        <v>19</v>
      </c>
      <c r="F54">
        <v>26</v>
      </c>
      <c r="G54" t="s">
        <v>50</v>
      </c>
      <c r="H54" t="s">
        <v>51</v>
      </c>
      <c r="I54" t="s">
        <v>30</v>
      </c>
      <c r="J54" t="s">
        <v>52</v>
      </c>
      <c r="K54">
        <v>1</v>
      </c>
      <c r="L54">
        <v>7586</v>
      </c>
      <c r="M54">
        <v>15</v>
      </c>
      <c r="N54">
        <v>6448.1</v>
      </c>
      <c r="O54" s="22" t="s">
        <v>32</v>
      </c>
    </row>
    <row r="55" spans="1:15">
      <c r="A55" s="20" t="s">
        <v>238</v>
      </c>
      <c r="B55" s="16" t="s">
        <v>239</v>
      </c>
      <c r="C55" t="s">
        <v>240</v>
      </c>
      <c r="D55" t="s">
        <v>18</v>
      </c>
      <c r="E55" t="s">
        <v>19</v>
      </c>
      <c r="F55">
        <v>44</v>
      </c>
      <c r="G55" t="s">
        <v>38</v>
      </c>
      <c r="H55" t="s">
        <v>39</v>
      </c>
      <c r="I55" t="s">
        <v>83</v>
      </c>
      <c r="J55" t="s">
        <v>133</v>
      </c>
      <c r="K55">
        <v>1</v>
      </c>
      <c r="L55">
        <v>1617</v>
      </c>
      <c r="M55">
        <v>5</v>
      </c>
      <c r="N55">
        <v>1536.15</v>
      </c>
      <c r="O55" s="22" t="s">
        <v>65</v>
      </c>
    </row>
    <row r="56" spans="1:15">
      <c r="A56" s="20" t="s">
        <v>241</v>
      </c>
      <c r="B56" s="16" t="s">
        <v>242</v>
      </c>
      <c r="C56" t="s">
        <v>243</v>
      </c>
      <c r="D56" t="s">
        <v>114</v>
      </c>
      <c r="E56" t="s">
        <v>37</v>
      </c>
      <c r="F56">
        <v>46</v>
      </c>
      <c r="G56" t="s">
        <v>70</v>
      </c>
      <c r="H56" t="s">
        <v>70</v>
      </c>
      <c r="I56" t="s">
        <v>59</v>
      </c>
      <c r="J56" t="s">
        <v>60</v>
      </c>
      <c r="K56">
        <v>5</v>
      </c>
      <c r="L56">
        <v>7192</v>
      </c>
      <c r="M56">
        <v>20</v>
      </c>
      <c r="N56">
        <v>28768</v>
      </c>
      <c r="O56" s="22" t="s">
        <v>32</v>
      </c>
    </row>
    <row r="57" spans="1:15">
      <c r="A57" s="20" t="s">
        <v>244</v>
      </c>
      <c r="B57" s="16" t="s">
        <v>245</v>
      </c>
      <c r="C57" t="s">
        <v>246</v>
      </c>
      <c r="D57" t="s">
        <v>145</v>
      </c>
      <c r="E57" t="s">
        <v>19</v>
      </c>
      <c r="F57">
        <v>34</v>
      </c>
      <c r="G57" t="s">
        <v>43</v>
      </c>
      <c r="H57" t="s">
        <v>44</v>
      </c>
      <c r="I57" t="s">
        <v>59</v>
      </c>
      <c r="J57" t="s">
        <v>110</v>
      </c>
      <c r="K57">
        <v>5</v>
      </c>
      <c r="L57">
        <v>2928</v>
      </c>
      <c r="M57">
        <v>0</v>
      </c>
      <c r="N57">
        <v>14640</v>
      </c>
      <c r="O57" s="22" t="s">
        <v>32</v>
      </c>
    </row>
    <row r="58" spans="1:15">
      <c r="A58" s="20" t="s">
        <v>247</v>
      </c>
      <c r="B58" s="16" t="s">
        <v>248</v>
      </c>
      <c r="C58" t="s">
        <v>249</v>
      </c>
      <c r="D58" t="s">
        <v>91</v>
      </c>
      <c r="E58" t="s">
        <v>37</v>
      </c>
      <c r="F58">
        <v>43</v>
      </c>
      <c r="G58" t="s">
        <v>57</v>
      </c>
      <c r="H58" t="s">
        <v>58</v>
      </c>
      <c r="I58" t="s">
        <v>83</v>
      </c>
      <c r="J58" t="s">
        <v>84</v>
      </c>
      <c r="K58">
        <v>2</v>
      </c>
      <c r="L58">
        <v>1292</v>
      </c>
      <c r="M58">
        <v>0</v>
      </c>
      <c r="N58">
        <v>2584</v>
      </c>
      <c r="O58" s="22" t="s">
        <v>32</v>
      </c>
    </row>
    <row r="59" spans="1:15">
      <c r="A59" s="20" t="s">
        <v>250</v>
      </c>
      <c r="B59" s="16" t="s">
        <v>251</v>
      </c>
      <c r="C59" t="s">
        <v>252</v>
      </c>
      <c r="D59" t="s">
        <v>253</v>
      </c>
      <c r="E59" t="s">
        <v>37</v>
      </c>
      <c r="F59">
        <v>25</v>
      </c>
      <c r="G59" t="s">
        <v>57</v>
      </c>
      <c r="H59" t="s">
        <v>58</v>
      </c>
      <c r="I59" t="s">
        <v>21</v>
      </c>
      <c r="J59" t="s">
        <v>129</v>
      </c>
      <c r="K59">
        <v>5</v>
      </c>
      <c r="L59">
        <v>2583</v>
      </c>
      <c r="M59">
        <v>10</v>
      </c>
      <c r="N59">
        <v>11623.5</v>
      </c>
      <c r="O59" s="22" t="s">
        <v>61</v>
      </c>
    </row>
    <row r="60" spans="1:15">
      <c r="A60" s="20" t="s">
        <v>254</v>
      </c>
      <c r="B60" s="16" t="s">
        <v>255</v>
      </c>
      <c r="C60" t="s">
        <v>256</v>
      </c>
      <c r="D60" t="s">
        <v>159</v>
      </c>
      <c r="E60" t="s">
        <v>19</v>
      </c>
      <c r="F60">
        <v>47</v>
      </c>
      <c r="G60" t="s">
        <v>140</v>
      </c>
      <c r="H60" t="s">
        <v>141</v>
      </c>
      <c r="I60" t="s">
        <v>30</v>
      </c>
      <c r="J60" t="s">
        <v>45</v>
      </c>
      <c r="K60">
        <v>2</v>
      </c>
      <c r="L60">
        <v>3844</v>
      </c>
      <c r="M60">
        <v>5</v>
      </c>
      <c r="N60">
        <v>7303.6</v>
      </c>
      <c r="O60" s="22" t="s">
        <v>23</v>
      </c>
    </row>
    <row r="61" spans="1:15">
      <c r="A61" s="20" t="s">
        <v>257</v>
      </c>
      <c r="B61" s="16" t="s">
        <v>258</v>
      </c>
      <c r="C61" t="s">
        <v>259</v>
      </c>
      <c r="D61" t="s">
        <v>114</v>
      </c>
      <c r="E61" t="s">
        <v>37</v>
      </c>
      <c r="F61">
        <v>24</v>
      </c>
      <c r="G61" t="s">
        <v>50</v>
      </c>
      <c r="H61" t="s">
        <v>51</v>
      </c>
      <c r="I61" t="s">
        <v>83</v>
      </c>
      <c r="J61" t="s">
        <v>164</v>
      </c>
      <c r="K61">
        <v>1</v>
      </c>
      <c r="L61">
        <v>3324</v>
      </c>
      <c r="M61">
        <v>5</v>
      </c>
      <c r="N61">
        <v>3157.8</v>
      </c>
      <c r="O61" s="22" t="s">
        <v>32</v>
      </c>
    </row>
    <row r="62" spans="1:15">
      <c r="A62" s="20" t="s">
        <v>260</v>
      </c>
      <c r="B62" s="16" t="s">
        <v>261</v>
      </c>
      <c r="C62" t="s">
        <v>262</v>
      </c>
      <c r="D62" t="s">
        <v>125</v>
      </c>
      <c r="E62" t="s">
        <v>37</v>
      </c>
      <c r="F62">
        <v>20</v>
      </c>
      <c r="G62" t="s">
        <v>20</v>
      </c>
      <c r="H62" t="s">
        <v>20</v>
      </c>
      <c r="I62" t="s">
        <v>30</v>
      </c>
      <c r="J62" t="s">
        <v>45</v>
      </c>
      <c r="K62">
        <v>1</v>
      </c>
      <c r="L62">
        <v>5894</v>
      </c>
      <c r="M62">
        <v>0</v>
      </c>
      <c r="N62">
        <v>5894</v>
      </c>
      <c r="O62" s="22" t="s">
        <v>65</v>
      </c>
    </row>
    <row r="63" spans="1:15">
      <c r="A63" s="20" t="s">
        <v>263</v>
      </c>
      <c r="B63" s="16" t="s">
        <v>264</v>
      </c>
      <c r="C63" t="s">
        <v>265</v>
      </c>
      <c r="D63" t="s">
        <v>49</v>
      </c>
      <c r="E63" t="s">
        <v>19</v>
      </c>
      <c r="F63">
        <v>37</v>
      </c>
      <c r="G63" t="s">
        <v>57</v>
      </c>
      <c r="H63" t="s">
        <v>58</v>
      </c>
      <c r="I63" t="s">
        <v>21</v>
      </c>
      <c r="J63" t="s">
        <v>190</v>
      </c>
      <c r="K63">
        <v>4</v>
      </c>
      <c r="L63">
        <v>500</v>
      </c>
      <c r="M63">
        <v>0</v>
      </c>
      <c r="N63">
        <v>2000</v>
      </c>
      <c r="O63" s="22" t="s">
        <v>23</v>
      </c>
    </row>
    <row r="64" spans="1:15">
      <c r="A64" s="20" t="s">
        <v>266</v>
      </c>
      <c r="B64" s="16" t="s">
        <v>267</v>
      </c>
      <c r="C64" t="s">
        <v>268</v>
      </c>
      <c r="D64" t="s">
        <v>125</v>
      </c>
      <c r="E64" t="s">
        <v>37</v>
      </c>
      <c r="F64">
        <v>35</v>
      </c>
      <c r="G64" t="s">
        <v>81</v>
      </c>
      <c r="H64" t="s">
        <v>82</v>
      </c>
      <c r="I64" t="s">
        <v>83</v>
      </c>
      <c r="J64" t="s">
        <v>133</v>
      </c>
      <c r="K64">
        <v>4</v>
      </c>
      <c r="L64">
        <v>710</v>
      </c>
      <c r="M64">
        <v>15</v>
      </c>
      <c r="N64">
        <v>2414</v>
      </c>
      <c r="O64" s="22" t="s">
        <v>23</v>
      </c>
    </row>
    <row r="65" spans="1:15">
      <c r="A65" s="20" t="s">
        <v>269</v>
      </c>
      <c r="B65" s="16" t="s">
        <v>270</v>
      </c>
      <c r="C65" t="s">
        <v>271</v>
      </c>
      <c r="D65" t="s">
        <v>109</v>
      </c>
      <c r="E65" t="s">
        <v>19</v>
      </c>
      <c r="F65">
        <v>33</v>
      </c>
      <c r="G65" t="s">
        <v>140</v>
      </c>
      <c r="H65" t="s">
        <v>141</v>
      </c>
      <c r="I65" t="s">
        <v>21</v>
      </c>
      <c r="J65" t="s">
        <v>197</v>
      </c>
      <c r="K65">
        <v>5</v>
      </c>
      <c r="L65">
        <v>6014</v>
      </c>
      <c r="M65">
        <v>5</v>
      </c>
      <c r="N65">
        <v>28566.5</v>
      </c>
      <c r="O65" s="22" t="s">
        <v>23</v>
      </c>
    </row>
    <row r="66" spans="1:15">
      <c r="A66" s="20" t="s">
        <v>272</v>
      </c>
      <c r="B66" s="16" t="s">
        <v>273</v>
      </c>
      <c r="C66" t="s">
        <v>274</v>
      </c>
      <c r="D66" t="s">
        <v>36</v>
      </c>
      <c r="E66" t="s">
        <v>37</v>
      </c>
      <c r="F66">
        <v>43</v>
      </c>
      <c r="G66" t="s">
        <v>28</v>
      </c>
      <c r="H66" t="s">
        <v>29</v>
      </c>
      <c r="I66" t="s">
        <v>83</v>
      </c>
      <c r="J66" t="s">
        <v>164</v>
      </c>
      <c r="K66">
        <v>4</v>
      </c>
      <c r="L66">
        <v>3249</v>
      </c>
      <c r="M66">
        <v>20</v>
      </c>
      <c r="N66">
        <v>10396.8</v>
      </c>
      <c r="O66" s="22" t="s">
        <v>65</v>
      </c>
    </row>
    <row r="67" spans="1:15">
      <c r="A67" s="20" t="s">
        <v>275</v>
      </c>
      <c r="B67" s="16" t="s">
        <v>276</v>
      </c>
      <c r="C67" t="s">
        <v>277</v>
      </c>
      <c r="D67" t="s">
        <v>75</v>
      </c>
      <c r="E67" t="s">
        <v>19</v>
      </c>
      <c r="F67">
        <v>35</v>
      </c>
      <c r="G67" t="s">
        <v>28</v>
      </c>
      <c r="H67" t="s">
        <v>29</v>
      </c>
      <c r="I67" t="s">
        <v>21</v>
      </c>
      <c r="J67" t="s">
        <v>197</v>
      </c>
      <c r="K67">
        <v>3</v>
      </c>
      <c r="L67">
        <v>2763</v>
      </c>
      <c r="M67">
        <v>0</v>
      </c>
      <c r="N67">
        <v>8289</v>
      </c>
      <c r="O67" s="22" t="s">
        <v>23</v>
      </c>
    </row>
    <row r="68" spans="1:15">
      <c r="A68" s="20" t="s">
        <v>278</v>
      </c>
      <c r="B68" s="16" t="s">
        <v>279</v>
      </c>
      <c r="C68" t="s">
        <v>280</v>
      </c>
      <c r="D68" t="s">
        <v>80</v>
      </c>
      <c r="E68" t="s">
        <v>19</v>
      </c>
      <c r="F68">
        <v>46</v>
      </c>
      <c r="G68" t="s">
        <v>50</v>
      </c>
      <c r="H68" t="s">
        <v>51</v>
      </c>
      <c r="I68" t="s">
        <v>21</v>
      </c>
      <c r="J68" t="s">
        <v>22</v>
      </c>
      <c r="K68">
        <v>5</v>
      </c>
      <c r="L68">
        <v>7448</v>
      </c>
      <c r="M68">
        <v>0</v>
      </c>
      <c r="N68">
        <v>37240</v>
      </c>
      <c r="O68" s="22" t="s">
        <v>32</v>
      </c>
    </row>
    <row r="69" spans="1:15">
      <c r="A69" s="20" t="s">
        <v>281</v>
      </c>
      <c r="B69" s="16" t="s">
        <v>282</v>
      </c>
      <c r="C69" t="s">
        <v>283</v>
      </c>
      <c r="D69" t="s">
        <v>36</v>
      </c>
      <c r="E69" t="s">
        <v>37</v>
      </c>
      <c r="F69">
        <v>47</v>
      </c>
      <c r="G69" t="s">
        <v>50</v>
      </c>
      <c r="H69" t="s">
        <v>51</v>
      </c>
      <c r="I69" t="s">
        <v>30</v>
      </c>
      <c r="J69" t="s">
        <v>76</v>
      </c>
      <c r="K69">
        <v>1</v>
      </c>
      <c r="L69">
        <v>2341</v>
      </c>
      <c r="M69">
        <v>15</v>
      </c>
      <c r="N69">
        <v>1989.85</v>
      </c>
      <c r="O69" s="22" t="s">
        <v>23</v>
      </c>
    </row>
    <row r="70" spans="1:15">
      <c r="A70" s="20" t="s">
        <v>284</v>
      </c>
      <c r="B70" s="16" t="s">
        <v>285</v>
      </c>
      <c r="C70" t="s">
        <v>286</v>
      </c>
      <c r="D70" t="s">
        <v>163</v>
      </c>
      <c r="E70" t="s">
        <v>19</v>
      </c>
      <c r="F70">
        <v>47</v>
      </c>
      <c r="G70" t="s">
        <v>20</v>
      </c>
      <c r="H70" t="s">
        <v>20</v>
      </c>
      <c r="I70" t="s">
        <v>83</v>
      </c>
      <c r="J70" t="s">
        <v>92</v>
      </c>
      <c r="K70">
        <v>2</v>
      </c>
      <c r="L70">
        <v>894</v>
      </c>
      <c r="M70">
        <v>20</v>
      </c>
      <c r="N70">
        <v>1430.4</v>
      </c>
      <c r="O70" s="22" t="s">
        <v>65</v>
      </c>
    </row>
    <row r="71" spans="1:15">
      <c r="A71" s="20" t="s">
        <v>287</v>
      </c>
      <c r="B71" s="16" t="s">
        <v>288</v>
      </c>
      <c r="C71" t="s">
        <v>289</v>
      </c>
      <c r="D71" t="s">
        <v>159</v>
      </c>
      <c r="E71" t="s">
        <v>19</v>
      </c>
      <c r="F71">
        <v>48</v>
      </c>
      <c r="G71" t="s">
        <v>70</v>
      </c>
      <c r="H71" t="s">
        <v>70</v>
      </c>
      <c r="I71" t="s">
        <v>21</v>
      </c>
      <c r="J71" t="s">
        <v>129</v>
      </c>
      <c r="K71">
        <v>3</v>
      </c>
      <c r="L71">
        <v>6556</v>
      </c>
      <c r="M71">
        <v>20</v>
      </c>
      <c r="N71">
        <v>15734.4</v>
      </c>
      <c r="O71" s="22" t="s">
        <v>23</v>
      </c>
    </row>
    <row r="72" spans="1:15">
      <c r="A72" s="20" t="s">
        <v>290</v>
      </c>
      <c r="B72" s="16" t="s">
        <v>291</v>
      </c>
      <c r="C72" t="s">
        <v>292</v>
      </c>
      <c r="D72" t="s">
        <v>159</v>
      </c>
      <c r="E72" t="s">
        <v>19</v>
      </c>
      <c r="F72">
        <v>20</v>
      </c>
      <c r="G72" t="s">
        <v>140</v>
      </c>
      <c r="H72" t="s">
        <v>141</v>
      </c>
      <c r="I72" t="s">
        <v>30</v>
      </c>
      <c r="J72" t="s">
        <v>45</v>
      </c>
      <c r="K72">
        <v>3</v>
      </c>
      <c r="L72">
        <v>4254</v>
      </c>
      <c r="M72">
        <v>20</v>
      </c>
      <c r="N72">
        <v>10209.6</v>
      </c>
      <c r="O72" s="22" t="s">
        <v>65</v>
      </c>
    </row>
    <row r="73" spans="1:15">
      <c r="A73" s="20" t="s">
        <v>293</v>
      </c>
      <c r="B73" s="16" t="s">
        <v>294</v>
      </c>
      <c r="C73" t="s">
        <v>295</v>
      </c>
      <c r="D73" t="s">
        <v>105</v>
      </c>
      <c r="E73" t="s">
        <v>37</v>
      </c>
      <c r="F73">
        <v>36</v>
      </c>
      <c r="G73" t="s">
        <v>140</v>
      </c>
      <c r="H73" t="s">
        <v>141</v>
      </c>
      <c r="I73" t="s">
        <v>59</v>
      </c>
      <c r="J73" t="s">
        <v>110</v>
      </c>
      <c r="K73">
        <v>5</v>
      </c>
      <c r="L73">
        <v>6616</v>
      </c>
      <c r="M73">
        <v>0</v>
      </c>
      <c r="N73">
        <v>33080</v>
      </c>
      <c r="O73" s="22" t="s">
        <v>61</v>
      </c>
    </row>
    <row r="74" spans="1:15">
      <c r="A74" s="20" t="s">
        <v>296</v>
      </c>
      <c r="B74" s="16" t="s">
        <v>297</v>
      </c>
      <c r="C74" t="s">
        <v>298</v>
      </c>
      <c r="D74" t="s">
        <v>125</v>
      </c>
      <c r="E74" t="s">
        <v>37</v>
      </c>
      <c r="F74">
        <v>47</v>
      </c>
      <c r="G74" t="s">
        <v>38</v>
      </c>
      <c r="H74" t="s">
        <v>39</v>
      </c>
      <c r="I74" t="s">
        <v>30</v>
      </c>
      <c r="J74" t="s">
        <v>96</v>
      </c>
      <c r="K74">
        <v>4</v>
      </c>
      <c r="L74">
        <v>2580</v>
      </c>
      <c r="M74">
        <v>10</v>
      </c>
      <c r="N74">
        <v>9288</v>
      </c>
      <c r="O74" s="22" t="s">
        <v>61</v>
      </c>
    </row>
    <row r="75" spans="1:15">
      <c r="A75" s="20" t="s">
        <v>299</v>
      </c>
      <c r="B75" s="16" t="s">
        <v>300</v>
      </c>
      <c r="C75" t="s">
        <v>301</v>
      </c>
      <c r="D75" t="s">
        <v>109</v>
      </c>
      <c r="E75" t="s">
        <v>19</v>
      </c>
      <c r="F75">
        <v>34</v>
      </c>
      <c r="G75" t="s">
        <v>140</v>
      </c>
      <c r="H75" t="s">
        <v>141</v>
      </c>
      <c r="I75" t="s">
        <v>30</v>
      </c>
      <c r="J75" t="s">
        <v>96</v>
      </c>
      <c r="K75">
        <v>1</v>
      </c>
      <c r="L75">
        <v>272</v>
      </c>
      <c r="M75">
        <v>5</v>
      </c>
      <c r="N75">
        <v>258.4</v>
      </c>
      <c r="O75" s="22" t="s">
        <v>32</v>
      </c>
    </row>
    <row r="76" spans="1:15">
      <c r="A76" s="20" t="s">
        <v>302</v>
      </c>
      <c r="B76" s="16" t="s">
        <v>303</v>
      </c>
      <c r="C76" t="s">
        <v>304</v>
      </c>
      <c r="D76" t="s">
        <v>27</v>
      </c>
      <c r="E76" t="s">
        <v>19</v>
      </c>
      <c r="F76">
        <v>42</v>
      </c>
      <c r="G76" t="s">
        <v>43</v>
      </c>
      <c r="H76" t="s">
        <v>44</v>
      </c>
      <c r="I76" t="s">
        <v>30</v>
      </c>
      <c r="J76" t="s">
        <v>96</v>
      </c>
      <c r="K76">
        <v>3</v>
      </c>
      <c r="L76">
        <v>2046</v>
      </c>
      <c r="M76">
        <v>10</v>
      </c>
      <c r="N76">
        <v>5524.2</v>
      </c>
      <c r="O76" s="22" t="s">
        <v>32</v>
      </c>
    </row>
    <row r="77" spans="1:15">
      <c r="A77" s="20" t="s">
        <v>305</v>
      </c>
      <c r="B77" s="16" t="s">
        <v>306</v>
      </c>
      <c r="C77" t="s">
        <v>307</v>
      </c>
      <c r="D77" t="s">
        <v>49</v>
      </c>
      <c r="E77" t="s">
        <v>19</v>
      </c>
      <c r="F77">
        <v>40</v>
      </c>
      <c r="G77" t="s">
        <v>28</v>
      </c>
      <c r="H77" t="s">
        <v>29</v>
      </c>
      <c r="I77" t="s">
        <v>30</v>
      </c>
      <c r="J77" t="s">
        <v>76</v>
      </c>
      <c r="K77">
        <v>2</v>
      </c>
      <c r="L77">
        <v>6869</v>
      </c>
      <c r="M77">
        <v>15</v>
      </c>
      <c r="N77">
        <v>11677.3</v>
      </c>
      <c r="O77" s="22" t="s">
        <v>61</v>
      </c>
    </row>
    <row r="78" spans="1:15">
      <c r="A78" s="20" t="s">
        <v>308</v>
      </c>
      <c r="B78" s="16" t="s">
        <v>309</v>
      </c>
      <c r="C78" t="s">
        <v>310</v>
      </c>
      <c r="D78" t="s">
        <v>125</v>
      </c>
      <c r="E78" t="s">
        <v>37</v>
      </c>
      <c r="F78">
        <v>22</v>
      </c>
      <c r="G78" t="s">
        <v>57</v>
      </c>
      <c r="H78" t="s">
        <v>58</v>
      </c>
      <c r="I78" t="s">
        <v>59</v>
      </c>
      <c r="J78" t="s">
        <v>110</v>
      </c>
      <c r="K78">
        <v>3</v>
      </c>
      <c r="L78">
        <v>7592</v>
      </c>
      <c r="M78">
        <v>0</v>
      </c>
      <c r="N78">
        <v>22776</v>
      </c>
      <c r="O78" s="22" t="s">
        <v>23</v>
      </c>
    </row>
    <row r="79" spans="1:15">
      <c r="A79" s="20" t="s">
        <v>311</v>
      </c>
      <c r="B79" s="16" t="s">
        <v>312</v>
      </c>
      <c r="C79" t="s">
        <v>313</v>
      </c>
      <c r="D79" t="s">
        <v>27</v>
      </c>
      <c r="E79" t="s">
        <v>19</v>
      </c>
      <c r="F79">
        <v>28</v>
      </c>
      <c r="G79" t="s">
        <v>28</v>
      </c>
      <c r="H79" t="s">
        <v>29</v>
      </c>
      <c r="I79" t="s">
        <v>83</v>
      </c>
      <c r="J79" t="s">
        <v>164</v>
      </c>
      <c r="K79">
        <v>1</v>
      </c>
      <c r="L79">
        <v>2855</v>
      </c>
      <c r="M79">
        <v>15</v>
      </c>
      <c r="N79">
        <v>2426.75</v>
      </c>
      <c r="O79" s="22" t="s">
        <v>65</v>
      </c>
    </row>
    <row r="80" spans="1:15">
      <c r="A80" s="20" t="s">
        <v>314</v>
      </c>
      <c r="B80" s="16" t="s">
        <v>315</v>
      </c>
      <c r="C80" t="s">
        <v>316</v>
      </c>
      <c r="D80" t="s">
        <v>125</v>
      </c>
      <c r="E80" t="s">
        <v>37</v>
      </c>
      <c r="F80">
        <v>50</v>
      </c>
      <c r="G80" t="s">
        <v>28</v>
      </c>
      <c r="H80" t="s">
        <v>29</v>
      </c>
      <c r="I80" t="s">
        <v>30</v>
      </c>
      <c r="J80" t="s">
        <v>76</v>
      </c>
      <c r="K80">
        <v>1</v>
      </c>
      <c r="L80">
        <v>2999</v>
      </c>
      <c r="M80">
        <v>5</v>
      </c>
      <c r="N80">
        <v>2849.05</v>
      </c>
      <c r="O80" s="22" t="s">
        <v>65</v>
      </c>
    </row>
    <row r="81" spans="1:15">
      <c r="A81" s="20" t="s">
        <v>317</v>
      </c>
      <c r="B81" s="16" t="s">
        <v>318</v>
      </c>
      <c r="C81" t="s">
        <v>319</v>
      </c>
      <c r="D81" t="s">
        <v>320</v>
      </c>
      <c r="E81" t="s">
        <v>19</v>
      </c>
      <c r="F81">
        <v>49</v>
      </c>
      <c r="G81" t="s">
        <v>43</v>
      </c>
      <c r="H81" t="s">
        <v>44</v>
      </c>
      <c r="I81" t="s">
        <v>83</v>
      </c>
      <c r="J81" t="s">
        <v>164</v>
      </c>
      <c r="K81">
        <v>2</v>
      </c>
      <c r="L81">
        <v>7090</v>
      </c>
      <c r="M81">
        <v>15</v>
      </c>
      <c r="N81">
        <v>12053</v>
      </c>
      <c r="O81" s="22" t="s">
        <v>65</v>
      </c>
    </row>
    <row r="82" spans="1:15">
      <c r="A82" s="20" t="s">
        <v>321</v>
      </c>
      <c r="B82" s="16" t="s">
        <v>322</v>
      </c>
      <c r="C82" t="s">
        <v>323</v>
      </c>
      <c r="D82" t="s">
        <v>145</v>
      </c>
      <c r="E82" t="s">
        <v>19</v>
      </c>
      <c r="F82">
        <v>30</v>
      </c>
      <c r="G82" t="s">
        <v>140</v>
      </c>
      <c r="H82" t="s">
        <v>141</v>
      </c>
      <c r="I82" t="s">
        <v>83</v>
      </c>
      <c r="J82" t="s">
        <v>118</v>
      </c>
      <c r="K82">
        <v>1</v>
      </c>
      <c r="L82">
        <v>6060</v>
      </c>
      <c r="M82">
        <v>15</v>
      </c>
      <c r="N82">
        <v>5151</v>
      </c>
      <c r="O82" s="22" t="s">
        <v>61</v>
      </c>
    </row>
    <row r="83" spans="1:15">
      <c r="A83" s="20" t="s">
        <v>324</v>
      </c>
      <c r="B83" s="16" t="s">
        <v>325</v>
      </c>
      <c r="C83" t="s">
        <v>326</v>
      </c>
      <c r="D83" t="s">
        <v>163</v>
      </c>
      <c r="E83" t="s">
        <v>19</v>
      </c>
      <c r="F83">
        <v>21</v>
      </c>
      <c r="G83" t="s">
        <v>38</v>
      </c>
      <c r="H83" t="s">
        <v>39</v>
      </c>
      <c r="I83" t="s">
        <v>59</v>
      </c>
      <c r="J83" t="s">
        <v>171</v>
      </c>
      <c r="K83">
        <v>3</v>
      </c>
      <c r="L83">
        <v>7598</v>
      </c>
      <c r="M83">
        <v>5</v>
      </c>
      <c r="N83">
        <v>21654.3</v>
      </c>
      <c r="O83" s="22" t="s">
        <v>32</v>
      </c>
    </row>
    <row r="84" spans="1:15">
      <c r="A84" s="20" t="s">
        <v>327</v>
      </c>
      <c r="B84" s="16" t="s">
        <v>328</v>
      </c>
      <c r="C84" t="s">
        <v>329</v>
      </c>
      <c r="D84" t="s">
        <v>80</v>
      </c>
      <c r="E84" t="s">
        <v>19</v>
      </c>
      <c r="F84">
        <v>25</v>
      </c>
      <c r="G84" t="s">
        <v>57</v>
      </c>
      <c r="H84" t="s">
        <v>58</v>
      </c>
      <c r="I84" t="s">
        <v>83</v>
      </c>
      <c r="J84" t="s">
        <v>92</v>
      </c>
      <c r="K84">
        <v>1</v>
      </c>
      <c r="L84">
        <v>4423</v>
      </c>
      <c r="M84">
        <v>10</v>
      </c>
      <c r="N84">
        <v>3980.7</v>
      </c>
      <c r="O84" s="22" t="s">
        <v>61</v>
      </c>
    </row>
    <row r="85" spans="1:15">
      <c r="A85" s="20" t="s">
        <v>330</v>
      </c>
      <c r="B85" s="16" t="s">
        <v>331</v>
      </c>
      <c r="C85" t="s">
        <v>332</v>
      </c>
      <c r="D85" t="s">
        <v>114</v>
      </c>
      <c r="E85" t="s">
        <v>37</v>
      </c>
      <c r="F85">
        <v>43</v>
      </c>
      <c r="G85" t="s">
        <v>81</v>
      </c>
      <c r="H85" t="s">
        <v>82</v>
      </c>
      <c r="I85" t="s">
        <v>30</v>
      </c>
      <c r="J85" t="s">
        <v>76</v>
      </c>
      <c r="K85">
        <v>4</v>
      </c>
      <c r="L85">
        <v>6171</v>
      </c>
      <c r="M85">
        <v>15</v>
      </c>
      <c r="N85">
        <v>20981.4</v>
      </c>
      <c r="O85" s="22" t="s">
        <v>65</v>
      </c>
    </row>
    <row r="86" spans="1:15">
      <c r="A86" s="20" t="s">
        <v>333</v>
      </c>
      <c r="B86" s="16" t="s">
        <v>334</v>
      </c>
      <c r="C86" t="s">
        <v>335</v>
      </c>
      <c r="D86" t="s">
        <v>253</v>
      </c>
      <c r="E86" t="s">
        <v>37</v>
      </c>
      <c r="F86">
        <v>48</v>
      </c>
      <c r="G86" t="s">
        <v>50</v>
      </c>
      <c r="H86" t="s">
        <v>51</v>
      </c>
      <c r="I86" t="s">
        <v>59</v>
      </c>
      <c r="J86" t="s">
        <v>110</v>
      </c>
      <c r="K86">
        <v>5</v>
      </c>
      <c r="L86">
        <v>1263</v>
      </c>
      <c r="M86">
        <v>5</v>
      </c>
      <c r="N86">
        <v>5999.25</v>
      </c>
      <c r="O86" s="22" t="s">
        <v>65</v>
      </c>
    </row>
    <row r="87" spans="1:15">
      <c r="A87" s="20" t="s">
        <v>336</v>
      </c>
      <c r="B87" s="16" t="s">
        <v>337</v>
      </c>
      <c r="C87" t="s">
        <v>338</v>
      </c>
      <c r="D87" t="s">
        <v>69</v>
      </c>
      <c r="E87" t="s">
        <v>37</v>
      </c>
      <c r="F87">
        <v>30</v>
      </c>
      <c r="G87" t="s">
        <v>81</v>
      </c>
      <c r="H87" t="s">
        <v>82</v>
      </c>
      <c r="I87" t="s">
        <v>83</v>
      </c>
      <c r="J87" t="s">
        <v>92</v>
      </c>
      <c r="K87">
        <v>3</v>
      </c>
      <c r="L87">
        <v>1616</v>
      </c>
      <c r="M87">
        <v>15</v>
      </c>
      <c r="N87">
        <v>4120.8</v>
      </c>
      <c r="O87" s="22" t="s">
        <v>23</v>
      </c>
    </row>
    <row r="88" spans="1:15">
      <c r="A88" s="20" t="s">
        <v>339</v>
      </c>
      <c r="B88" s="16" t="s">
        <v>340</v>
      </c>
      <c r="C88" t="s">
        <v>341</v>
      </c>
      <c r="D88" t="s">
        <v>18</v>
      </c>
      <c r="E88" t="s">
        <v>19</v>
      </c>
      <c r="F88">
        <v>48</v>
      </c>
      <c r="G88" t="s">
        <v>43</v>
      </c>
      <c r="H88" t="s">
        <v>44</v>
      </c>
      <c r="I88" t="s">
        <v>21</v>
      </c>
      <c r="J88" t="s">
        <v>129</v>
      </c>
      <c r="K88">
        <v>1</v>
      </c>
      <c r="L88">
        <v>4221</v>
      </c>
      <c r="M88">
        <v>20</v>
      </c>
      <c r="N88">
        <v>3376.8</v>
      </c>
      <c r="O88" s="22" t="s">
        <v>61</v>
      </c>
    </row>
    <row r="89" spans="1:15">
      <c r="A89" s="20" t="s">
        <v>342</v>
      </c>
      <c r="B89" s="16" t="s">
        <v>343</v>
      </c>
      <c r="C89" t="s">
        <v>344</v>
      </c>
      <c r="D89" t="s">
        <v>56</v>
      </c>
      <c r="E89" t="s">
        <v>37</v>
      </c>
      <c r="F89">
        <v>30</v>
      </c>
      <c r="G89" t="s">
        <v>50</v>
      </c>
      <c r="H89" t="s">
        <v>51</v>
      </c>
      <c r="I89" t="s">
        <v>59</v>
      </c>
      <c r="J89" t="s">
        <v>71</v>
      </c>
      <c r="K89">
        <v>2</v>
      </c>
      <c r="L89">
        <v>6410</v>
      </c>
      <c r="M89">
        <v>10</v>
      </c>
      <c r="N89">
        <v>11538</v>
      </c>
      <c r="O89" s="22" t="s">
        <v>23</v>
      </c>
    </row>
    <row r="90" spans="1:15">
      <c r="A90" s="20" t="s">
        <v>345</v>
      </c>
      <c r="B90" s="16" t="s">
        <v>346</v>
      </c>
      <c r="C90" t="s">
        <v>347</v>
      </c>
      <c r="D90" t="s">
        <v>163</v>
      </c>
      <c r="E90" t="s">
        <v>19</v>
      </c>
      <c r="F90">
        <v>30</v>
      </c>
      <c r="G90" t="s">
        <v>28</v>
      </c>
      <c r="H90" t="s">
        <v>29</v>
      </c>
      <c r="I90" t="s">
        <v>83</v>
      </c>
      <c r="J90" t="s">
        <v>133</v>
      </c>
      <c r="K90">
        <v>5</v>
      </c>
      <c r="L90">
        <v>1050</v>
      </c>
      <c r="M90">
        <v>20</v>
      </c>
      <c r="N90">
        <v>4200</v>
      </c>
      <c r="O90" s="22" t="s">
        <v>61</v>
      </c>
    </row>
    <row r="91" spans="1:15">
      <c r="A91" s="20" t="s">
        <v>348</v>
      </c>
      <c r="B91" s="16" t="s">
        <v>349</v>
      </c>
      <c r="C91" t="s">
        <v>350</v>
      </c>
      <c r="D91" t="s">
        <v>49</v>
      </c>
      <c r="E91" t="s">
        <v>19</v>
      </c>
      <c r="F91">
        <v>41</v>
      </c>
      <c r="G91" t="s">
        <v>28</v>
      </c>
      <c r="H91" t="s">
        <v>29</v>
      </c>
      <c r="I91" t="s">
        <v>59</v>
      </c>
      <c r="J91" t="s">
        <v>60</v>
      </c>
      <c r="K91">
        <v>1</v>
      </c>
      <c r="L91">
        <v>4252</v>
      </c>
      <c r="M91">
        <v>0</v>
      </c>
      <c r="N91">
        <v>4252</v>
      </c>
      <c r="O91" s="22" t="s">
        <v>61</v>
      </c>
    </row>
    <row r="92" spans="1:15">
      <c r="A92" s="20" t="s">
        <v>351</v>
      </c>
      <c r="B92" s="16" t="s">
        <v>352</v>
      </c>
      <c r="C92" t="s">
        <v>353</v>
      </c>
      <c r="D92" t="s">
        <v>36</v>
      </c>
      <c r="E92" t="s">
        <v>37</v>
      </c>
      <c r="F92">
        <v>25</v>
      </c>
      <c r="G92" t="s">
        <v>43</v>
      </c>
      <c r="H92" t="s">
        <v>44</v>
      </c>
      <c r="I92" t="s">
        <v>83</v>
      </c>
      <c r="J92" t="s">
        <v>164</v>
      </c>
      <c r="K92">
        <v>4</v>
      </c>
      <c r="L92">
        <v>5937</v>
      </c>
      <c r="M92">
        <v>5</v>
      </c>
      <c r="N92">
        <v>22560.6</v>
      </c>
      <c r="O92" s="22" t="s">
        <v>23</v>
      </c>
    </row>
    <row r="93" spans="1:15">
      <c r="A93" s="20" t="s">
        <v>354</v>
      </c>
      <c r="B93" s="16" t="s">
        <v>355</v>
      </c>
      <c r="C93" t="s">
        <v>356</v>
      </c>
      <c r="D93" t="s">
        <v>109</v>
      </c>
      <c r="E93" t="s">
        <v>19</v>
      </c>
      <c r="F93">
        <v>37</v>
      </c>
      <c r="G93" t="s">
        <v>43</v>
      </c>
      <c r="H93" t="s">
        <v>44</v>
      </c>
      <c r="I93" t="s">
        <v>83</v>
      </c>
      <c r="J93" t="s">
        <v>133</v>
      </c>
      <c r="K93">
        <v>5</v>
      </c>
      <c r="L93">
        <v>6990</v>
      </c>
      <c r="M93">
        <v>20</v>
      </c>
      <c r="N93">
        <v>27960</v>
      </c>
      <c r="O93" s="22" t="s">
        <v>32</v>
      </c>
    </row>
    <row r="94" spans="1:15">
      <c r="A94" s="20" t="s">
        <v>357</v>
      </c>
      <c r="B94" s="16" t="s">
        <v>358</v>
      </c>
      <c r="C94" t="s">
        <v>359</v>
      </c>
      <c r="D94" t="s">
        <v>159</v>
      </c>
      <c r="E94" t="s">
        <v>19</v>
      </c>
      <c r="F94">
        <v>31</v>
      </c>
      <c r="G94" t="s">
        <v>50</v>
      </c>
      <c r="H94" t="s">
        <v>51</v>
      </c>
      <c r="I94" t="s">
        <v>30</v>
      </c>
      <c r="J94" t="s">
        <v>31</v>
      </c>
      <c r="K94">
        <v>5</v>
      </c>
      <c r="L94">
        <v>5364</v>
      </c>
      <c r="M94">
        <v>10</v>
      </c>
      <c r="N94">
        <v>24138</v>
      </c>
      <c r="O94" s="22" t="s">
        <v>65</v>
      </c>
    </row>
    <row r="95" spans="1:15">
      <c r="A95" s="20" t="s">
        <v>360</v>
      </c>
      <c r="B95" s="16" t="s">
        <v>361</v>
      </c>
      <c r="C95" t="s">
        <v>362</v>
      </c>
      <c r="D95" t="s">
        <v>69</v>
      </c>
      <c r="E95" t="s">
        <v>37</v>
      </c>
      <c r="F95">
        <v>25</v>
      </c>
      <c r="G95" t="s">
        <v>57</v>
      </c>
      <c r="H95" t="s">
        <v>58</v>
      </c>
      <c r="I95" t="s">
        <v>59</v>
      </c>
      <c r="J95" t="s">
        <v>71</v>
      </c>
      <c r="K95">
        <v>5</v>
      </c>
      <c r="L95">
        <v>856</v>
      </c>
      <c r="M95">
        <v>10</v>
      </c>
      <c r="N95">
        <v>3852</v>
      </c>
      <c r="O95" s="22" t="s">
        <v>65</v>
      </c>
    </row>
    <row r="96" spans="1:15">
      <c r="A96" s="20" t="s">
        <v>363</v>
      </c>
      <c r="B96" s="16" t="s">
        <v>364</v>
      </c>
      <c r="C96" t="s">
        <v>365</v>
      </c>
      <c r="D96" t="s">
        <v>80</v>
      </c>
      <c r="E96" t="s">
        <v>19</v>
      </c>
      <c r="F96">
        <v>37</v>
      </c>
      <c r="G96" t="s">
        <v>38</v>
      </c>
      <c r="H96" t="s">
        <v>39</v>
      </c>
      <c r="I96" t="s">
        <v>83</v>
      </c>
      <c r="J96" t="s">
        <v>164</v>
      </c>
      <c r="K96">
        <v>4</v>
      </c>
      <c r="L96">
        <v>6985</v>
      </c>
      <c r="M96">
        <v>5</v>
      </c>
      <c r="N96">
        <v>26543</v>
      </c>
      <c r="O96" s="22" t="s">
        <v>65</v>
      </c>
    </row>
    <row r="97" spans="1:15">
      <c r="A97" s="20" t="s">
        <v>366</v>
      </c>
      <c r="B97" s="16" t="s">
        <v>367</v>
      </c>
      <c r="C97" t="s">
        <v>368</v>
      </c>
      <c r="D97" t="s">
        <v>80</v>
      </c>
      <c r="E97" t="s">
        <v>19</v>
      </c>
      <c r="F97">
        <v>34</v>
      </c>
      <c r="G97" t="s">
        <v>70</v>
      </c>
      <c r="H97" t="s">
        <v>70</v>
      </c>
      <c r="I97" t="s">
        <v>21</v>
      </c>
      <c r="J97" t="s">
        <v>190</v>
      </c>
      <c r="K97">
        <v>5</v>
      </c>
      <c r="L97">
        <v>5635</v>
      </c>
      <c r="M97">
        <v>5</v>
      </c>
      <c r="N97">
        <v>26766.25</v>
      </c>
      <c r="O97" s="22" t="s">
        <v>61</v>
      </c>
    </row>
    <row r="98" spans="1:15">
      <c r="A98" s="20" t="s">
        <v>369</v>
      </c>
      <c r="B98" s="16" t="s">
        <v>370</v>
      </c>
      <c r="C98" t="s">
        <v>371</v>
      </c>
      <c r="D98" t="s">
        <v>163</v>
      </c>
      <c r="E98" t="s">
        <v>19</v>
      </c>
      <c r="F98">
        <v>44</v>
      </c>
      <c r="G98" t="s">
        <v>38</v>
      </c>
      <c r="H98" t="s">
        <v>39</v>
      </c>
      <c r="I98" t="s">
        <v>21</v>
      </c>
      <c r="J98" t="s">
        <v>129</v>
      </c>
      <c r="K98">
        <v>5</v>
      </c>
      <c r="L98">
        <v>6672</v>
      </c>
      <c r="M98">
        <v>15</v>
      </c>
      <c r="N98">
        <v>28356</v>
      </c>
      <c r="O98" s="22" t="s">
        <v>65</v>
      </c>
    </row>
    <row r="99" spans="1:15">
      <c r="A99" s="20" t="s">
        <v>372</v>
      </c>
      <c r="B99" s="16" t="s">
        <v>373</v>
      </c>
      <c r="C99" t="s">
        <v>374</v>
      </c>
      <c r="D99" t="s">
        <v>91</v>
      </c>
      <c r="E99" t="s">
        <v>37</v>
      </c>
      <c r="F99">
        <v>25</v>
      </c>
      <c r="G99" t="s">
        <v>38</v>
      </c>
      <c r="H99" t="s">
        <v>39</v>
      </c>
      <c r="I99" t="s">
        <v>30</v>
      </c>
      <c r="J99" t="s">
        <v>52</v>
      </c>
      <c r="K99">
        <v>2</v>
      </c>
      <c r="L99">
        <v>4370</v>
      </c>
      <c r="M99">
        <v>20</v>
      </c>
      <c r="N99">
        <v>6992</v>
      </c>
      <c r="O99" s="22" t="s">
        <v>61</v>
      </c>
    </row>
    <row r="100" spans="1:15">
      <c r="A100" s="20" t="s">
        <v>375</v>
      </c>
      <c r="B100" s="16" t="s">
        <v>376</v>
      </c>
      <c r="C100" t="s">
        <v>377</v>
      </c>
      <c r="D100" t="s">
        <v>163</v>
      </c>
      <c r="E100" t="s">
        <v>19</v>
      </c>
      <c r="F100">
        <v>35</v>
      </c>
      <c r="G100" t="s">
        <v>57</v>
      </c>
      <c r="H100" t="s">
        <v>58</v>
      </c>
      <c r="I100" t="s">
        <v>30</v>
      </c>
      <c r="J100" t="s">
        <v>96</v>
      </c>
      <c r="K100">
        <v>3</v>
      </c>
      <c r="L100">
        <v>7683</v>
      </c>
      <c r="M100">
        <v>20</v>
      </c>
      <c r="N100">
        <v>18439.2</v>
      </c>
      <c r="O100" s="22" t="s">
        <v>23</v>
      </c>
    </row>
    <row r="101" spans="1:15">
      <c r="A101" s="20" t="s">
        <v>378</v>
      </c>
      <c r="B101" s="16" t="s">
        <v>379</v>
      </c>
      <c r="C101" t="s">
        <v>380</v>
      </c>
      <c r="D101" t="s">
        <v>320</v>
      </c>
      <c r="E101" t="s">
        <v>19</v>
      </c>
      <c r="F101">
        <v>45</v>
      </c>
      <c r="G101" t="s">
        <v>70</v>
      </c>
      <c r="H101" t="s">
        <v>70</v>
      </c>
      <c r="I101" t="s">
        <v>30</v>
      </c>
      <c r="J101" t="s">
        <v>96</v>
      </c>
      <c r="K101">
        <v>3</v>
      </c>
      <c r="L101">
        <v>6740</v>
      </c>
      <c r="M101">
        <v>0</v>
      </c>
      <c r="N101">
        <v>20220</v>
      </c>
      <c r="O101" s="22" t="s">
        <v>32</v>
      </c>
    </row>
    <row r="102" spans="1:15">
      <c r="A102" s="20" t="s">
        <v>381</v>
      </c>
      <c r="B102" s="16" t="s">
        <v>382</v>
      </c>
      <c r="C102" t="s">
        <v>383</v>
      </c>
      <c r="D102" t="s">
        <v>75</v>
      </c>
      <c r="E102" t="s">
        <v>19</v>
      </c>
      <c r="F102">
        <v>34</v>
      </c>
      <c r="G102" t="s">
        <v>140</v>
      </c>
      <c r="H102" t="s">
        <v>141</v>
      </c>
      <c r="I102" t="s">
        <v>30</v>
      </c>
      <c r="J102" t="s">
        <v>45</v>
      </c>
      <c r="K102">
        <v>5</v>
      </c>
      <c r="L102">
        <v>6410</v>
      </c>
      <c r="M102">
        <v>10</v>
      </c>
      <c r="N102">
        <v>28845</v>
      </c>
      <c r="O102" s="22" t="s">
        <v>32</v>
      </c>
    </row>
    <row r="103" spans="1:15">
      <c r="A103" s="20" t="s">
        <v>384</v>
      </c>
      <c r="B103" s="16" t="s">
        <v>385</v>
      </c>
      <c r="C103" t="s">
        <v>386</v>
      </c>
      <c r="D103" t="s">
        <v>204</v>
      </c>
      <c r="E103" t="s">
        <v>37</v>
      </c>
      <c r="F103">
        <v>48</v>
      </c>
      <c r="G103" t="s">
        <v>43</v>
      </c>
      <c r="H103" t="s">
        <v>44</v>
      </c>
      <c r="I103" t="s">
        <v>83</v>
      </c>
      <c r="J103" t="s">
        <v>133</v>
      </c>
      <c r="K103">
        <v>1</v>
      </c>
      <c r="L103">
        <v>7273</v>
      </c>
      <c r="M103">
        <v>10</v>
      </c>
      <c r="N103">
        <v>6545.7</v>
      </c>
      <c r="O103" s="22" t="s">
        <v>65</v>
      </c>
    </row>
    <row r="104" spans="1:15">
      <c r="A104" s="20" t="s">
        <v>387</v>
      </c>
      <c r="B104" s="16" t="s">
        <v>388</v>
      </c>
      <c r="C104" t="s">
        <v>389</v>
      </c>
      <c r="D104" t="s">
        <v>69</v>
      </c>
      <c r="E104" t="s">
        <v>37</v>
      </c>
      <c r="F104">
        <v>45</v>
      </c>
      <c r="G104" t="s">
        <v>140</v>
      </c>
      <c r="H104" t="s">
        <v>141</v>
      </c>
      <c r="I104" t="s">
        <v>30</v>
      </c>
      <c r="J104" t="s">
        <v>45</v>
      </c>
      <c r="K104">
        <v>1</v>
      </c>
      <c r="L104">
        <v>5865</v>
      </c>
      <c r="M104">
        <v>0</v>
      </c>
      <c r="N104">
        <v>5865</v>
      </c>
      <c r="O104" s="22" t="s">
        <v>65</v>
      </c>
    </row>
    <row r="105" spans="1:15">
      <c r="A105" s="20" t="s">
        <v>390</v>
      </c>
      <c r="B105" s="16" t="s">
        <v>391</v>
      </c>
      <c r="C105" t="s">
        <v>392</v>
      </c>
      <c r="D105" t="s">
        <v>204</v>
      </c>
      <c r="E105" t="s">
        <v>37</v>
      </c>
      <c r="F105">
        <v>34</v>
      </c>
      <c r="G105" t="s">
        <v>43</v>
      </c>
      <c r="H105" t="s">
        <v>44</v>
      </c>
      <c r="I105" t="s">
        <v>83</v>
      </c>
      <c r="J105" t="s">
        <v>92</v>
      </c>
      <c r="K105">
        <v>2</v>
      </c>
      <c r="L105">
        <v>1709</v>
      </c>
      <c r="M105">
        <v>5</v>
      </c>
      <c r="N105">
        <v>3247.1</v>
      </c>
      <c r="O105" s="22" t="s">
        <v>23</v>
      </c>
    </row>
    <row r="106" spans="1:15">
      <c r="A106" s="20" t="s">
        <v>393</v>
      </c>
      <c r="B106" s="16" t="s">
        <v>394</v>
      </c>
      <c r="C106" t="s">
        <v>395</v>
      </c>
      <c r="D106" t="s">
        <v>253</v>
      </c>
      <c r="E106" t="s">
        <v>37</v>
      </c>
      <c r="F106">
        <v>46</v>
      </c>
      <c r="G106" t="s">
        <v>70</v>
      </c>
      <c r="H106" t="s">
        <v>70</v>
      </c>
      <c r="I106" t="s">
        <v>83</v>
      </c>
      <c r="J106" t="s">
        <v>164</v>
      </c>
      <c r="K106">
        <v>5</v>
      </c>
      <c r="L106">
        <v>1198</v>
      </c>
      <c r="M106">
        <v>5</v>
      </c>
      <c r="N106">
        <v>5690.5</v>
      </c>
      <c r="O106" s="22" t="s">
        <v>23</v>
      </c>
    </row>
    <row r="107" spans="1:15">
      <c r="A107" s="20" t="s">
        <v>396</v>
      </c>
      <c r="B107" s="16" t="s">
        <v>397</v>
      </c>
      <c r="C107" t="s">
        <v>398</v>
      </c>
      <c r="D107" t="s">
        <v>145</v>
      </c>
      <c r="E107" t="s">
        <v>19</v>
      </c>
      <c r="F107">
        <v>40</v>
      </c>
      <c r="G107" t="s">
        <v>28</v>
      </c>
      <c r="H107" t="s">
        <v>29</v>
      </c>
      <c r="I107" t="s">
        <v>59</v>
      </c>
      <c r="J107" t="s">
        <v>60</v>
      </c>
      <c r="K107">
        <v>1</v>
      </c>
      <c r="L107">
        <v>517</v>
      </c>
      <c r="M107">
        <v>10</v>
      </c>
      <c r="N107">
        <v>465.3</v>
      </c>
      <c r="O107" s="22" t="s">
        <v>65</v>
      </c>
    </row>
    <row r="108" spans="1:15">
      <c r="A108" s="20" t="s">
        <v>399</v>
      </c>
      <c r="B108" s="16" t="s">
        <v>400</v>
      </c>
      <c r="C108" t="s">
        <v>401</v>
      </c>
      <c r="D108" t="s">
        <v>69</v>
      </c>
      <c r="E108" t="s">
        <v>37</v>
      </c>
      <c r="F108">
        <v>35</v>
      </c>
      <c r="G108" t="s">
        <v>28</v>
      </c>
      <c r="H108" t="s">
        <v>29</v>
      </c>
      <c r="I108" t="s">
        <v>59</v>
      </c>
      <c r="J108" t="s">
        <v>171</v>
      </c>
      <c r="K108">
        <v>2</v>
      </c>
      <c r="L108">
        <v>7619</v>
      </c>
      <c r="M108">
        <v>15</v>
      </c>
      <c r="N108">
        <v>12952.3</v>
      </c>
      <c r="O108" s="22" t="s">
        <v>32</v>
      </c>
    </row>
    <row r="109" spans="1:15">
      <c r="A109" s="20" t="s">
        <v>402</v>
      </c>
      <c r="B109" s="16" t="s">
        <v>403</v>
      </c>
      <c r="C109" t="s">
        <v>404</v>
      </c>
      <c r="D109" t="s">
        <v>36</v>
      </c>
      <c r="E109" t="s">
        <v>37</v>
      </c>
      <c r="F109">
        <v>44</v>
      </c>
      <c r="G109" t="s">
        <v>20</v>
      </c>
      <c r="H109" t="s">
        <v>20</v>
      </c>
      <c r="I109" t="s">
        <v>59</v>
      </c>
      <c r="J109" t="s">
        <v>171</v>
      </c>
      <c r="K109">
        <v>2</v>
      </c>
      <c r="L109">
        <v>893</v>
      </c>
      <c r="M109">
        <v>20</v>
      </c>
      <c r="N109">
        <v>1428.8</v>
      </c>
      <c r="O109" s="22" t="s">
        <v>23</v>
      </c>
    </row>
    <row r="110" spans="1:15">
      <c r="A110" s="20" t="s">
        <v>405</v>
      </c>
      <c r="B110" s="16" t="s">
        <v>406</v>
      </c>
      <c r="C110" t="s">
        <v>407</v>
      </c>
      <c r="D110" t="s">
        <v>320</v>
      </c>
      <c r="E110" t="s">
        <v>19</v>
      </c>
      <c r="F110">
        <v>46</v>
      </c>
      <c r="G110" t="s">
        <v>140</v>
      </c>
      <c r="H110" t="s">
        <v>141</v>
      </c>
      <c r="I110" t="s">
        <v>59</v>
      </c>
      <c r="J110" t="s">
        <v>110</v>
      </c>
      <c r="K110">
        <v>3</v>
      </c>
      <c r="L110">
        <v>5308</v>
      </c>
      <c r="M110">
        <v>0</v>
      </c>
      <c r="N110">
        <v>15924</v>
      </c>
      <c r="O110" s="22" t="s">
        <v>23</v>
      </c>
    </row>
    <row r="111" spans="1:15">
      <c r="A111" s="20" t="s">
        <v>408</v>
      </c>
      <c r="B111" s="16" t="s">
        <v>409</v>
      </c>
      <c r="C111" t="s">
        <v>410</v>
      </c>
      <c r="D111" t="s">
        <v>320</v>
      </c>
      <c r="E111" t="s">
        <v>19</v>
      </c>
      <c r="F111">
        <v>26</v>
      </c>
      <c r="G111" t="s">
        <v>70</v>
      </c>
      <c r="H111" t="s">
        <v>70</v>
      </c>
      <c r="I111" t="s">
        <v>59</v>
      </c>
      <c r="J111" t="s">
        <v>60</v>
      </c>
      <c r="K111">
        <v>1</v>
      </c>
      <c r="L111">
        <v>6308</v>
      </c>
      <c r="M111">
        <v>5</v>
      </c>
      <c r="N111">
        <v>5992.6</v>
      </c>
      <c r="O111" s="22" t="s">
        <v>61</v>
      </c>
    </row>
    <row r="112" spans="1:15">
      <c r="A112" s="20" t="s">
        <v>411</v>
      </c>
      <c r="B112" s="16" t="s">
        <v>412</v>
      </c>
      <c r="C112" t="s">
        <v>413</v>
      </c>
      <c r="D112" t="s">
        <v>18</v>
      </c>
      <c r="E112" t="s">
        <v>19</v>
      </c>
      <c r="F112">
        <v>44</v>
      </c>
      <c r="G112" t="s">
        <v>20</v>
      </c>
      <c r="H112" t="s">
        <v>20</v>
      </c>
      <c r="I112" t="s">
        <v>83</v>
      </c>
      <c r="J112" t="s">
        <v>164</v>
      </c>
      <c r="K112">
        <v>3</v>
      </c>
      <c r="L112">
        <v>2007</v>
      </c>
      <c r="M112">
        <v>5</v>
      </c>
      <c r="N112">
        <v>5719.95</v>
      </c>
      <c r="O112" s="22" t="s">
        <v>23</v>
      </c>
    </row>
    <row r="113" spans="1:15">
      <c r="A113" s="20" t="s">
        <v>414</v>
      </c>
      <c r="B113" s="16" t="s">
        <v>415</v>
      </c>
      <c r="C113" t="s">
        <v>416</v>
      </c>
      <c r="D113" t="s">
        <v>91</v>
      </c>
      <c r="E113" t="s">
        <v>37</v>
      </c>
      <c r="F113">
        <v>34</v>
      </c>
      <c r="G113" t="s">
        <v>70</v>
      </c>
      <c r="H113" t="s">
        <v>70</v>
      </c>
      <c r="I113" t="s">
        <v>30</v>
      </c>
      <c r="J113" t="s">
        <v>96</v>
      </c>
      <c r="K113">
        <v>3</v>
      </c>
      <c r="L113">
        <v>1031</v>
      </c>
      <c r="M113">
        <v>10</v>
      </c>
      <c r="N113">
        <v>2783.7</v>
      </c>
      <c r="O113" s="22" t="s">
        <v>32</v>
      </c>
    </row>
    <row r="114" spans="1:15">
      <c r="A114" s="20" t="s">
        <v>417</v>
      </c>
      <c r="B114" s="16" t="s">
        <v>418</v>
      </c>
      <c r="C114" t="s">
        <v>419</v>
      </c>
      <c r="D114" t="s">
        <v>27</v>
      </c>
      <c r="E114" t="s">
        <v>19</v>
      </c>
      <c r="F114">
        <v>38</v>
      </c>
      <c r="G114" t="s">
        <v>81</v>
      </c>
      <c r="H114" t="s">
        <v>82</v>
      </c>
      <c r="I114" t="s">
        <v>59</v>
      </c>
      <c r="J114" t="s">
        <v>110</v>
      </c>
      <c r="K114">
        <v>3</v>
      </c>
      <c r="L114">
        <v>2847</v>
      </c>
      <c r="M114">
        <v>20</v>
      </c>
      <c r="N114">
        <v>6832.8</v>
      </c>
      <c r="O114" s="22" t="s">
        <v>23</v>
      </c>
    </row>
    <row r="115" spans="1:15">
      <c r="A115" s="20" t="s">
        <v>420</v>
      </c>
      <c r="B115" s="16" t="s">
        <v>421</v>
      </c>
      <c r="C115" t="s">
        <v>422</v>
      </c>
      <c r="D115" t="s">
        <v>149</v>
      </c>
      <c r="E115" t="s">
        <v>37</v>
      </c>
      <c r="F115">
        <v>32</v>
      </c>
      <c r="G115" t="s">
        <v>140</v>
      </c>
      <c r="H115" t="s">
        <v>141</v>
      </c>
      <c r="I115" t="s">
        <v>21</v>
      </c>
      <c r="J115" t="s">
        <v>197</v>
      </c>
      <c r="K115">
        <v>4</v>
      </c>
      <c r="L115">
        <v>2600</v>
      </c>
      <c r="M115">
        <v>0</v>
      </c>
      <c r="N115">
        <v>10400</v>
      </c>
      <c r="O115" s="22" t="s">
        <v>23</v>
      </c>
    </row>
    <row r="116" spans="1:15">
      <c r="A116" s="20" t="s">
        <v>423</v>
      </c>
      <c r="B116" s="16" t="s">
        <v>424</v>
      </c>
      <c r="C116" t="s">
        <v>425</v>
      </c>
      <c r="D116" t="s">
        <v>56</v>
      </c>
      <c r="E116" t="s">
        <v>37</v>
      </c>
      <c r="F116">
        <v>26</v>
      </c>
      <c r="G116" t="s">
        <v>100</v>
      </c>
      <c r="H116" t="s">
        <v>101</v>
      </c>
      <c r="I116" t="s">
        <v>59</v>
      </c>
      <c r="J116" t="s">
        <v>71</v>
      </c>
      <c r="K116">
        <v>5</v>
      </c>
      <c r="L116">
        <v>3685</v>
      </c>
      <c r="M116">
        <v>20</v>
      </c>
      <c r="N116">
        <v>14740</v>
      </c>
      <c r="O116" s="22" t="s">
        <v>65</v>
      </c>
    </row>
    <row r="117" spans="1:15">
      <c r="A117" s="20" t="s">
        <v>426</v>
      </c>
      <c r="B117" s="16" t="s">
        <v>427</v>
      </c>
      <c r="C117" t="s">
        <v>428</v>
      </c>
      <c r="D117" t="s">
        <v>18</v>
      </c>
      <c r="E117" t="s">
        <v>19</v>
      </c>
      <c r="F117">
        <v>32</v>
      </c>
      <c r="G117" t="s">
        <v>140</v>
      </c>
      <c r="H117" t="s">
        <v>141</v>
      </c>
      <c r="I117" t="s">
        <v>83</v>
      </c>
      <c r="J117" t="s">
        <v>133</v>
      </c>
      <c r="K117">
        <v>2</v>
      </c>
      <c r="L117">
        <v>4117</v>
      </c>
      <c r="M117">
        <v>0</v>
      </c>
      <c r="N117">
        <v>8234</v>
      </c>
      <c r="O117" s="22" t="s">
        <v>23</v>
      </c>
    </row>
    <row r="118" spans="1:15">
      <c r="A118" s="20" t="s">
        <v>429</v>
      </c>
      <c r="B118" s="16" t="s">
        <v>430</v>
      </c>
      <c r="C118" t="s">
        <v>431</v>
      </c>
      <c r="D118" t="s">
        <v>320</v>
      </c>
      <c r="E118" t="s">
        <v>19</v>
      </c>
      <c r="F118">
        <v>29</v>
      </c>
      <c r="G118" t="s">
        <v>43</v>
      </c>
      <c r="H118" t="s">
        <v>44</v>
      </c>
      <c r="I118" t="s">
        <v>30</v>
      </c>
      <c r="J118" t="s">
        <v>96</v>
      </c>
      <c r="K118">
        <v>3</v>
      </c>
      <c r="L118">
        <v>1460</v>
      </c>
      <c r="M118">
        <v>20</v>
      </c>
      <c r="N118">
        <v>3504</v>
      </c>
      <c r="O118" s="22" t="s">
        <v>23</v>
      </c>
    </row>
    <row r="119" spans="1:15">
      <c r="A119" s="20" t="s">
        <v>432</v>
      </c>
      <c r="B119" s="16" t="s">
        <v>433</v>
      </c>
      <c r="C119" t="s">
        <v>434</v>
      </c>
      <c r="D119" t="s">
        <v>204</v>
      </c>
      <c r="E119" t="s">
        <v>37</v>
      </c>
      <c r="F119">
        <v>44</v>
      </c>
      <c r="G119" t="s">
        <v>57</v>
      </c>
      <c r="H119" t="s">
        <v>58</v>
      </c>
      <c r="I119" t="s">
        <v>83</v>
      </c>
      <c r="J119" t="s">
        <v>133</v>
      </c>
      <c r="K119">
        <v>3</v>
      </c>
      <c r="L119">
        <v>7363</v>
      </c>
      <c r="M119">
        <v>5</v>
      </c>
      <c r="N119">
        <v>20984.55</v>
      </c>
      <c r="O119" s="22" t="s">
        <v>23</v>
      </c>
    </row>
    <row r="120" spans="1:15">
      <c r="A120" s="20" t="s">
        <v>435</v>
      </c>
      <c r="B120" s="16" t="s">
        <v>436</v>
      </c>
      <c r="C120" t="s">
        <v>437</v>
      </c>
      <c r="D120" t="s">
        <v>36</v>
      </c>
      <c r="E120" t="s">
        <v>37</v>
      </c>
      <c r="F120">
        <v>49</v>
      </c>
      <c r="G120" t="s">
        <v>100</v>
      </c>
      <c r="H120" t="s">
        <v>101</v>
      </c>
      <c r="I120" t="s">
        <v>21</v>
      </c>
      <c r="J120" t="s">
        <v>197</v>
      </c>
      <c r="K120">
        <v>1</v>
      </c>
      <c r="L120">
        <v>1068</v>
      </c>
      <c r="M120">
        <v>20</v>
      </c>
      <c r="N120">
        <v>854.4</v>
      </c>
      <c r="O120" s="22" t="s">
        <v>32</v>
      </c>
    </row>
    <row r="121" spans="1:15">
      <c r="A121" s="20" t="s">
        <v>438</v>
      </c>
      <c r="B121" s="16" t="s">
        <v>439</v>
      </c>
      <c r="C121" t="s">
        <v>440</v>
      </c>
      <c r="D121" t="s">
        <v>105</v>
      </c>
      <c r="E121" t="s">
        <v>37</v>
      </c>
      <c r="F121">
        <v>29</v>
      </c>
      <c r="G121" t="s">
        <v>38</v>
      </c>
      <c r="H121" t="s">
        <v>39</v>
      </c>
      <c r="I121" t="s">
        <v>59</v>
      </c>
      <c r="J121" t="s">
        <v>71</v>
      </c>
      <c r="K121">
        <v>5</v>
      </c>
      <c r="L121">
        <v>6057</v>
      </c>
      <c r="M121">
        <v>15</v>
      </c>
      <c r="N121">
        <v>25742.25</v>
      </c>
      <c r="O121" s="22" t="s">
        <v>32</v>
      </c>
    </row>
    <row r="122" spans="1:15">
      <c r="A122" s="20" t="s">
        <v>441</v>
      </c>
      <c r="B122" s="16" t="s">
        <v>442</v>
      </c>
      <c r="C122" t="s">
        <v>443</v>
      </c>
      <c r="D122" t="s">
        <v>75</v>
      </c>
      <c r="E122" t="s">
        <v>19</v>
      </c>
      <c r="F122">
        <v>44</v>
      </c>
      <c r="G122" t="s">
        <v>100</v>
      </c>
      <c r="H122" t="s">
        <v>101</v>
      </c>
      <c r="I122" t="s">
        <v>59</v>
      </c>
      <c r="J122" t="s">
        <v>71</v>
      </c>
      <c r="K122">
        <v>2</v>
      </c>
      <c r="L122">
        <v>4397</v>
      </c>
      <c r="M122">
        <v>10</v>
      </c>
      <c r="N122">
        <v>7914.6</v>
      </c>
      <c r="O122" s="22" t="s">
        <v>23</v>
      </c>
    </row>
    <row r="123" spans="1:15">
      <c r="A123" s="20" t="s">
        <v>444</v>
      </c>
      <c r="B123" s="16" t="s">
        <v>445</v>
      </c>
      <c r="C123" t="s">
        <v>446</v>
      </c>
      <c r="D123" t="s">
        <v>114</v>
      </c>
      <c r="E123" t="s">
        <v>37</v>
      </c>
      <c r="F123">
        <v>50</v>
      </c>
      <c r="G123" t="s">
        <v>100</v>
      </c>
      <c r="H123" t="s">
        <v>101</v>
      </c>
      <c r="I123" t="s">
        <v>83</v>
      </c>
      <c r="J123" t="s">
        <v>84</v>
      </c>
      <c r="K123">
        <v>3</v>
      </c>
      <c r="L123">
        <v>3804</v>
      </c>
      <c r="M123">
        <v>20</v>
      </c>
      <c r="N123">
        <v>9129.6</v>
      </c>
      <c r="O123" s="22" t="s">
        <v>23</v>
      </c>
    </row>
    <row r="124" spans="1:15">
      <c r="A124" s="20" t="s">
        <v>447</v>
      </c>
      <c r="B124" s="16" t="s">
        <v>448</v>
      </c>
      <c r="C124" t="s">
        <v>449</v>
      </c>
      <c r="D124" t="s">
        <v>56</v>
      </c>
      <c r="E124" t="s">
        <v>37</v>
      </c>
      <c r="F124">
        <v>45</v>
      </c>
      <c r="G124" t="s">
        <v>57</v>
      </c>
      <c r="H124" t="s">
        <v>58</v>
      </c>
      <c r="I124" t="s">
        <v>59</v>
      </c>
      <c r="J124" t="s">
        <v>171</v>
      </c>
      <c r="K124">
        <v>4</v>
      </c>
      <c r="L124">
        <v>4449</v>
      </c>
      <c r="M124">
        <v>15</v>
      </c>
      <c r="N124">
        <v>15126.6</v>
      </c>
      <c r="O124" s="22" t="s">
        <v>65</v>
      </c>
    </row>
    <row r="125" spans="1:15">
      <c r="A125" s="20" t="s">
        <v>450</v>
      </c>
      <c r="B125" s="16" t="s">
        <v>451</v>
      </c>
      <c r="C125" t="s">
        <v>452</v>
      </c>
      <c r="D125" t="s">
        <v>91</v>
      </c>
      <c r="E125" t="s">
        <v>37</v>
      </c>
      <c r="F125">
        <v>20</v>
      </c>
      <c r="G125" t="s">
        <v>100</v>
      </c>
      <c r="H125" t="s">
        <v>101</v>
      </c>
      <c r="I125" t="s">
        <v>21</v>
      </c>
      <c r="J125" t="s">
        <v>22</v>
      </c>
      <c r="K125">
        <v>2</v>
      </c>
      <c r="L125">
        <v>4231</v>
      </c>
      <c r="M125">
        <v>5</v>
      </c>
      <c r="N125">
        <v>8038.9</v>
      </c>
      <c r="O125" s="22" t="s">
        <v>61</v>
      </c>
    </row>
    <row r="126" spans="1:15">
      <c r="A126" s="20" t="s">
        <v>453</v>
      </c>
      <c r="B126" s="16" t="s">
        <v>454</v>
      </c>
      <c r="C126" t="s">
        <v>455</v>
      </c>
      <c r="D126" t="s">
        <v>114</v>
      </c>
      <c r="E126" t="s">
        <v>37</v>
      </c>
      <c r="F126">
        <v>45</v>
      </c>
      <c r="G126" t="s">
        <v>100</v>
      </c>
      <c r="H126" t="s">
        <v>101</v>
      </c>
      <c r="I126" t="s">
        <v>59</v>
      </c>
      <c r="J126" t="s">
        <v>71</v>
      </c>
      <c r="K126">
        <v>2</v>
      </c>
      <c r="L126">
        <v>3254</v>
      </c>
      <c r="M126">
        <v>5</v>
      </c>
      <c r="N126">
        <v>6182.6</v>
      </c>
      <c r="O126" s="22" t="s">
        <v>23</v>
      </c>
    </row>
    <row r="127" spans="1:15">
      <c r="A127" s="20" t="s">
        <v>456</v>
      </c>
      <c r="B127" s="16" t="s">
        <v>457</v>
      </c>
      <c r="C127" t="s">
        <v>458</v>
      </c>
      <c r="D127" t="s">
        <v>159</v>
      </c>
      <c r="E127" t="s">
        <v>19</v>
      </c>
      <c r="F127">
        <v>38</v>
      </c>
      <c r="G127" t="s">
        <v>50</v>
      </c>
      <c r="H127" t="s">
        <v>51</v>
      </c>
      <c r="I127" t="s">
        <v>21</v>
      </c>
      <c r="J127" t="s">
        <v>197</v>
      </c>
      <c r="K127">
        <v>3</v>
      </c>
      <c r="L127">
        <v>6295</v>
      </c>
      <c r="M127">
        <v>5</v>
      </c>
      <c r="N127">
        <v>17940.75</v>
      </c>
      <c r="O127" s="22" t="s">
        <v>23</v>
      </c>
    </row>
    <row r="128" spans="1:15">
      <c r="A128" s="20" t="s">
        <v>459</v>
      </c>
      <c r="B128" s="16" t="s">
        <v>460</v>
      </c>
      <c r="C128" t="s">
        <v>461</v>
      </c>
      <c r="D128" t="s">
        <v>109</v>
      </c>
      <c r="E128" t="s">
        <v>19</v>
      </c>
      <c r="F128">
        <v>41</v>
      </c>
      <c r="G128" t="s">
        <v>70</v>
      </c>
      <c r="H128" t="s">
        <v>70</v>
      </c>
      <c r="I128" t="s">
        <v>21</v>
      </c>
      <c r="J128" t="s">
        <v>129</v>
      </c>
      <c r="K128">
        <v>4</v>
      </c>
      <c r="L128">
        <v>1256</v>
      </c>
      <c r="M128">
        <v>10</v>
      </c>
      <c r="N128">
        <v>4521.6</v>
      </c>
      <c r="O128" s="22" t="s">
        <v>23</v>
      </c>
    </row>
    <row r="129" spans="1:15">
      <c r="A129" s="20" t="s">
        <v>462</v>
      </c>
      <c r="B129" s="16" t="s">
        <v>463</v>
      </c>
      <c r="C129" t="s">
        <v>464</v>
      </c>
      <c r="D129" t="s">
        <v>253</v>
      </c>
      <c r="E129" t="s">
        <v>37</v>
      </c>
      <c r="F129">
        <v>48</v>
      </c>
      <c r="G129" t="s">
        <v>70</v>
      </c>
      <c r="H129" t="s">
        <v>70</v>
      </c>
      <c r="I129" t="s">
        <v>21</v>
      </c>
      <c r="J129" t="s">
        <v>129</v>
      </c>
      <c r="K129">
        <v>1</v>
      </c>
      <c r="L129">
        <v>6514</v>
      </c>
      <c r="M129">
        <v>5</v>
      </c>
      <c r="N129">
        <v>6188.3</v>
      </c>
      <c r="O129" s="22" t="s">
        <v>23</v>
      </c>
    </row>
    <row r="130" spans="1:15">
      <c r="A130" s="20" t="s">
        <v>465</v>
      </c>
      <c r="B130" s="16" t="s">
        <v>466</v>
      </c>
      <c r="C130" t="s">
        <v>467</v>
      </c>
      <c r="D130" t="s">
        <v>204</v>
      </c>
      <c r="E130" t="s">
        <v>37</v>
      </c>
      <c r="F130">
        <v>27</v>
      </c>
      <c r="G130" t="s">
        <v>81</v>
      </c>
      <c r="H130" t="s">
        <v>82</v>
      </c>
      <c r="I130" t="s">
        <v>21</v>
      </c>
      <c r="J130" t="s">
        <v>190</v>
      </c>
      <c r="K130">
        <v>3</v>
      </c>
      <c r="L130">
        <v>6931</v>
      </c>
      <c r="M130">
        <v>0</v>
      </c>
      <c r="N130">
        <v>20793</v>
      </c>
      <c r="O130" s="22" t="s">
        <v>32</v>
      </c>
    </row>
    <row r="131" spans="1:15">
      <c r="A131" s="20" t="s">
        <v>468</v>
      </c>
      <c r="B131" s="16" t="s">
        <v>469</v>
      </c>
      <c r="C131" t="s">
        <v>470</v>
      </c>
      <c r="D131" t="s">
        <v>69</v>
      </c>
      <c r="E131" t="s">
        <v>37</v>
      </c>
      <c r="F131">
        <v>42</v>
      </c>
      <c r="G131" t="s">
        <v>20</v>
      </c>
      <c r="H131" t="s">
        <v>20</v>
      </c>
      <c r="I131" t="s">
        <v>83</v>
      </c>
      <c r="J131" t="s">
        <v>164</v>
      </c>
      <c r="K131">
        <v>3</v>
      </c>
      <c r="L131">
        <v>2431</v>
      </c>
      <c r="M131">
        <v>5</v>
      </c>
      <c r="N131">
        <v>6928.35</v>
      </c>
      <c r="O131" s="22" t="s">
        <v>61</v>
      </c>
    </row>
    <row r="132" spans="1:15">
      <c r="A132" s="20" t="s">
        <v>471</v>
      </c>
      <c r="B132" s="16" t="s">
        <v>472</v>
      </c>
      <c r="C132" t="s">
        <v>473</v>
      </c>
      <c r="D132" t="s">
        <v>320</v>
      </c>
      <c r="E132" t="s">
        <v>19</v>
      </c>
      <c r="F132">
        <v>49</v>
      </c>
      <c r="G132" t="s">
        <v>140</v>
      </c>
      <c r="H132" t="s">
        <v>141</v>
      </c>
      <c r="I132" t="s">
        <v>21</v>
      </c>
      <c r="J132" t="s">
        <v>190</v>
      </c>
      <c r="K132">
        <v>5</v>
      </c>
      <c r="L132">
        <v>3171</v>
      </c>
      <c r="M132">
        <v>0</v>
      </c>
      <c r="N132">
        <v>15855</v>
      </c>
      <c r="O132" s="22" t="s">
        <v>65</v>
      </c>
    </row>
    <row r="133" spans="1:15">
      <c r="A133" s="20" t="s">
        <v>474</v>
      </c>
      <c r="B133" s="16" t="s">
        <v>475</v>
      </c>
      <c r="C133" t="s">
        <v>476</v>
      </c>
      <c r="D133" t="s">
        <v>204</v>
      </c>
      <c r="E133" t="s">
        <v>37</v>
      </c>
      <c r="F133">
        <v>50</v>
      </c>
      <c r="G133" t="s">
        <v>70</v>
      </c>
      <c r="H133" t="s">
        <v>70</v>
      </c>
      <c r="I133" t="s">
        <v>83</v>
      </c>
      <c r="J133" t="s">
        <v>133</v>
      </c>
      <c r="K133">
        <v>3</v>
      </c>
      <c r="L133">
        <v>4718</v>
      </c>
      <c r="M133">
        <v>20</v>
      </c>
      <c r="N133">
        <v>11323.2</v>
      </c>
      <c r="O133" s="22" t="s">
        <v>32</v>
      </c>
    </row>
    <row r="134" spans="1:15">
      <c r="A134" s="20" t="s">
        <v>477</v>
      </c>
      <c r="B134" s="16" t="s">
        <v>478</v>
      </c>
      <c r="C134" t="s">
        <v>479</v>
      </c>
      <c r="D134" t="s">
        <v>114</v>
      </c>
      <c r="E134" t="s">
        <v>37</v>
      </c>
      <c r="F134">
        <v>42</v>
      </c>
      <c r="G134" t="s">
        <v>28</v>
      </c>
      <c r="H134" t="s">
        <v>29</v>
      </c>
      <c r="I134" t="s">
        <v>21</v>
      </c>
      <c r="J134" t="s">
        <v>190</v>
      </c>
      <c r="K134">
        <v>5</v>
      </c>
      <c r="L134">
        <v>1436</v>
      </c>
      <c r="M134">
        <v>5</v>
      </c>
      <c r="N134">
        <v>6821</v>
      </c>
      <c r="O134" s="22" t="s">
        <v>23</v>
      </c>
    </row>
    <row r="135" spans="1:15">
      <c r="A135" s="20" t="s">
        <v>480</v>
      </c>
      <c r="B135" s="16" t="s">
        <v>481</v>
      </c>
      <c r="C135" t="s">
        <v>482</v>
      </c>
      <c r="D135" t="s">
        <v>18</v>
      </c>
      <c r="E135" t="s">
        <v>19</v>
      </c>
      <c r="F135">
        <v>40</v>
      </c>
      <c r="G135" t="s">
        <v>50</v>
      </c>
      <c r="H135" t="s">
        <v>51</v>
      </c>
      <c r="I135" t="s">
        <v>21</v>
      </c>
      <c r="J135" t="s">
        <v>22</v>
      </c>
      <c r="K135">
        <v>2</v>
      </c>
      <c r="L135">
        <v>7516</v>
      </c>
      <c r="M135">
        <v>15</v>
      </c>
      <c r="N135">
        <v>12777.2</v>
      </c>
      <c r="O135" s="22" t="s">
        <v>23</v>
      </c>
    </row>
    <row r="136" spans="1:15">
      <c r="A136" s="20" t="s">
        <v>483</v>
      </c>
      <c r="B136" s="16" t="s">
        <v>484</v>
      </c>
      <c r="C136" t="s">
        <v>485</v>
      </c>
      <c r="D136" t="s">
        <v>159</v>
      </c>
      <c r="E136" t="s">
        <v>19</v>
      </c>
      <c r="F136">
        <v>36</v>
      </c>
      <c r="G136" t="s">
        <v>20</v>
      </c>
      <c r="H136" t="s">
        <v>20</v>
      </c>
      <c r="I136" t="s">
        <v>83</v>
      </c>
      <c r="J136" t="s">
        <v>84</v>
      </c>
      <c r="K136">
        <v>4</v>
      </c>
      <c r="L136">
        <v>5324</v>
      </c>
      <c r="M136">
        <v>10</v>
      </c>
      <c r="N136">
        <v>19166.4</v>
      </c>
      <c r="O136" s="22" t="s">
        <v>61</v>
      </c>
    </row>
    <row r="137" spans="1:15">
      <c r="A137" s="20" t="s">
        <v>486</v>
      </c>
      <c r="B137" s="16" t="s">
        <v>487</v>
      </c>
      <c r="C137" t="s">
        <v>488</v>
      </c>
      <c r="D137" t="s">
        <v>163</v>
      </c>
      <c r="E137" t="s">
        <v>19</v>
      </c>
      <c r="F137">
        <v>23</v>
      </c>
      <c r="G137" t="s">
        <v>57</v>
      </c>
      <c r="H137" t="s">
        <v>58</v>
      </c>
      <c r="I137" t="s">
        <v>59</v>
      </c>
      <c r="J137" t="s">
        <v>171</v>
      </c>
      <c r="K137">
        <v>1</v>
      </c>
      <c r="L137">
        <v>4739</v>
      </c>
      <c r="M137">
        <v>10</v>
      </c>
      <c r="N137">
        <v>4265.1</v>
      </c>
      <c r="O137" s="22" t="s">
        <v>65</v>
      </c>
    </row>
    <row r="138" spans="1:15">
      <c r="A138" s="20" t="s">
        <v>489</v>
      </c>
      <c r="B138" s="16" t="s">
        <v>490</v>
      </c>
      <c r="C138" t="s">
        <v>491</v>
      </c>
      <c r="D138" t="s">
        <v>80</v>
      </c>
      <c r="E138" t="s">
        <v>19</v>
      </c>
      <c r="F138">
        <v>32</v>
      </c>
      <c r="G138" t="s">
        <v>140</v>
      </c>
      <c r="H138" t="s">
        <v>141</v>
      </c>
      <c r="I138" t="s">
        <v>83</v>
      </c>
      <c r="J138" t="s">
        <v>118</v>
      </c>
      <c r="K138">
        <v>1</v>
      </c>
      <c r="L138">
        <v>293</v>
      </c>
      <c r="M138">
        <v>15</v>
      </c>
      <c r="N138">
        <v>249.05</v>
      </c>
      <c r="O138" s="22" t="s">
        <v>23</v>
      </c>
    </row>
    <row r="139" spans="1:15">
      <c r="A139" s="20" t="s">
        <v>492</v>
      </c>
      <c r="B139" s="16" t="s">
        <v>493</v>
      </c>
      <c r="C139" t="s">
        <v>494</v>
      </c>
      <c r="D139" t="s">
        <v>75</v>
      </c>
      <c r="E139" t="s">
        <v>19</v>
      </c>
      <c r="F139">
        <v>42</v>
      </c>
      <c r="G139" t="s">
        <v>70</v>
      </c>
      <c r="H139" t="s">
        <v>70</v>
      </c>
      <c r="I139" t="s">
        <v>21</v>
      </c>
      <c r="J139" t="s">
        <v>129</v>
      </c>
      <c r="K139">
        <v>5</v>
      </c>
      <c r="L139">
        <v>7873</v>
      </c>
      <c r="M139">
        <v>5</v>
      </c>
      <c r="N139">
        <v>37396.75</v>
      </c>
      <c r="O139" s="22" t="s">
        <v>32</v>
      </c>
    </row>
    <row r="140" spans="1:15">
      <c r="A140" s="20" t="s">
        <v>495</v>
      </c>
      <c r="B140" s="16" t="s">
        <v>496</v>
      </c>
      <c r="C140" t="s">
        <v>497</v>
      </c>
      <c r="D140" t="s">
        <v>56</v>
      </c>
      <c r="E140" t="s">
        <v>37</v>
      </c>
      <c r="F140">
        <v>46</v>
      </c>
      <c r="G140" t="s">
        <v>38</v>
      </c>
      <c r="H140" t="s">
        <v>39</v>
      </c>
      <c r="I140" t="s">
        <v>59</v>
      </c>
      <c r="J140" t="s">
        <v>60</v>
      </c>
      <c r="K140">
        <v>2</v>
      </c>
      <c r="L140">
        <v>2779</v>
      </c>
      <c r="M140">
        <v>0</v>
      </c>
      <c r="N140">
        <v>5558</v>
      </c>
      <c r="O140" s="22" t="s">
        <v>65</v>
      </c>
    </row>
    <row r="141" spans="1:15">
      <c r="A141" s="20" t="s">
        <v>498</v>
      </c>
      <c r="B141" s="16" t="s">
        <v>499</v>
      </c>
      <c r="C141" t="s">
        <v>500</v>
      </c>
      <c r="D141" t="s">
        <v>91</v>
      </c>
      <c r="E141" t="s">
        <v>37</v>
      </c>
      <c r="F141">
        <v>48</v>
      </c>
      <c r="G141" t="s">
        <v>140</v>
      </c>
      <c r="H141" t="s">
        <v>141</v>
      </c>
      <c r="I141" t="s">
        <v>83</v>
      </c>
      <c r="J141" t="s">
        <v>118</v>
      </c>
      <c r="K141">
        <v>2</v>
      </c>
      <c r="L141">
        <v>7805</v>
      </c>
      <c r="M141">
        <v>15</v>
      </c>
      <c r="N141">
        <v>13268.5</v>
      </c>
      <c r="O141" s="22" t="s">
        <v>61</v>
      </c>
    </row>
    <row r="142" spans="1:15">
      <c r="A142" s="20" t="s">
        <v>501</v>
      </c>
      <c r="B142" s="16" t="s">
        <v>502</v>
      </c>
      <c r="C142" t="s">
        <v>503</v>
      </c>
      <c r="D142" t="s">
        <v>36</v>
      </c>
      <c r="E142" t="s">
        <v>37</v>
      </c>
      <c r="F142">
        <v>39</v>
      </c>
      <c r="G142" t="s">
        <v>100</v>
      </c>
      <c r="H142" t="s">
        <v>101</v>
      </c>
      <c r="I142" t="s">
        <v>21</v>
      </c>
      <c r="J142" t="s">
        <v>190</v>
      </c>
      <c r="K142">
        <v>5</v>
      </c>
      <c r="L142">
        <v>1727</v>
      </c>
      <c r="M142">
        <v>15</v>
      </c>
      <c r="N142">
        <v>7339.75</v>
      </c>
      <c r="O142" s="22" t="s">
        <v>65</v>
      </c>
    </row>
    <row r="143" spans="1:15">
      <c r="A143" s="20" t="s">
        <v>504</v>
      </c>
      <c r="B143" s="16" t="s">
        <v>505</v>
      </c>
      <c r="C143" t="s">
        <v>506</v>
      </c>
      <c r="D143" t="s">
        <v>80</v>
      </c>
      <c r="E143" t="s">
        <v>19</v>
      </c>
      <c r="F143">
        <v>50</v>
      </c>
      <c r="G143" t="s">
        <v>43</v>
      </c>
      <c r="H143" t="s">
        <v>44</v>
      </c>
      <c r="I143" t="s">
        <v>21</v>
      </c>
      <c r="J143" t="s">
        <v>190</v>
      </c>
      <c r="K143">
        <v>5</v>
      </c>
      <c r="L143">
        <v>739</v>
      </c>
      <c r="M143">
        <v>0</v>
      </c>
      <c r="N143">
        <v>3695</v>
      </c>
      <c r="O143" s="22" t="s">
        <v>65</v>
      </c>
    </row>
    <row r="144" spans="1:15">
      <c r="A144" s="20" t="s">
        <v>507</v>
      </c>
      <c r="B144" s="16" t="s">
        <v>508</v>
      </c>
      <c r="C144" t="s">
        <v>509</v>
      </c>
      <c r="D144" t="s">
        <v>253</v>
      </c>
      <c r="E144" t="s">
        <v>37</v>
      </c>
      <c r="F144">
        <v>41</v>
      </c>
      <c r="G144" t="s">
        <v>100</v>
      </c>
      <c r="H144" t="s">
        <v>101</v>
      </c>
      <c r="I144" t="s">
        <v>59</v>
      </c>
      <c r="J144" t="s">
        <v>71</v>
      </c>
      <c r="K144">
        <v>2</v>
      </c>
      <c r="L144">
        <v>5273</v>
      </c>
      <c r="M144">
        <v>15</v>
      </c>
      <c r="N144">
        <v>8964.1</v>
      </c>
      <c r="O144" s="22" t="s">
        <v>32</v>
      </c>
    </row>
    <row r="145" spans="1:15">
      <c r="A145" s="20" t="s">
        <v>510</v>
      </c>
      <c r="B145" s="16" t="s">
        <v>511</v>
      </c>
      <c r="C145" t="s">
        <v>512</v>
      </c>
      <c r="D145" t="s">
        <v>91</v>
      </c>
      <c r="E145" t="s">
        <v>37</v>
      </c>
      <c r="F145">
        <v>42</v>
      </c>
      <c r="G145" t="s">
        <v>100</v>
      </c>
      <c r="H145" t="s">
        <v>101</v>
      </c>
      <c r="I145" t="s">
        <v>59</v>
      </c>
      <c r="J145" t="s">
        <v>171</v>
      </c>
      <c r="K145">
        <v>3</v>
      </c>
      <c r="L145">
        <v>4769</v>
      </c>
      <c r="M145">
        <v>20</v>
      </c>
      <c r="N145">
        <v>11445.6</v>
      </c>
      <c r="O145" s="22" t="s">
        <v>61</v>
      </c>
    </row>
    <row r="146" spans="1:15">
      <c r="A146" s="20" t="s">
        <v>513</v>
      </c>
      <c r="B146" s="16" t="s">
        <v>514</v>
      </c>
      <c r="C146" t="s">
        <v>515</v>
      </c>
      <c r="D146" t="s">
        <v>105</v>
      </c>
      <c r="E146" t="s">
        <v>37</v>
      </c>
      <c r="F146">
        <v>45</v>
      </c>
      <c r="G146" t="s">
        <v>140</v>
      </c>
      <c r="H146" t="s">
        <v>141</v>
      </c>
      <c r="I146" t="s">
        <v>59</v>
      </c>
      <c r="J146" t="s">
        <v>171</v>
      </c>
      <c r="K146">
        <v>5</v>
      </c>
      <c r="L146">
        <v>6803</v>
      </c>
      <c r="M146">
        <v>0</v>
      </c>
      <c r="N146">
        <v>34015</v>
      </c>
      <c r="O146" s="22" t="s">
        <v>61</v>
      </c>
    </row>
    <row r="147" spans="1:15">
      <c r="A147" s="20" t="s">
        <v>516</v>
      </c>
      <c r="B147" s="16" t="s">
        <v>517</v>
      </c>
      <c r="C147" t="s">
        <v>518</v>
      </c>
      <c r="D147" t="s">
        <v>18</v>
      </c>
      <c r="E147" t="s">
        <v>19</v>
      </c>
      <c r="F147">
        <v>26</v>
      </c>
      <c r="G147" t="s">
        <v>100</v>
      </c>
      <c r="H147" t="s">
        <v>101</v>
      </c>
      <c r="I147" t="s">
        <v>30</v>
      </c>
      <c r="J147" t="s">
        <v>31</v>
      </c>
      <c r="K147">
        <v>5</v>
      </c>
      <c r="L147">
        <v>1023</v>
      </c>
      <c r="M147">
        <v>5</v>
      </c>
      <c r="N147">
        <v>4859.25</v>
      </c>
      <c r="O147" s="22" t="s">
        <v>61</v>
      </c>
    </row>
    <row r="148" spans="1:15">
      <c r="A148" s="20" t="s">
        <v>519</v>
      </c>
      <c r="B148" s="16" t="s">
        <v>520</v>
      </c>
      <c r="C148" t="s">
        <v>521</v>
      </c>
      <c r="D148" t="s">
        <v>159</v>
      </c>
      <c r="E148" t="s">
        <v>19</v>
      </c>
      <c r="F148">
        <v>46</v>
      </c>
      <c r="G148" t="s">
        <v>38</v>
      </c>
      <c r="H148" t="s">
        <v>39</v>
      </c>
      <c r="I148" t="s">
        <v>21</v>
      </c>
      <c r="J148" t="s">
        <v>197</v>
      </c>
      <c r="K148">
        <v>1</v>
      </c>
      <c r="L148">
        <v>969</v>
      </c>
      <c r="M148">
        <v>10</v>
      </c>
      <c r="N148">
        <v>872.1</v>
      </c>
      <c r="O148" s="22" t="s">
        <v>32</v>
      </c>
    </row>
    <row r="149" spans="1:15">
      <c r="A149" s="20" t="s">
        <v>522</v>
      </c>
      <c r="B149" s="16" t="s">
        <v>523</v>
      </c>
      <c r="C149" t="s">
        <v>524</v>
      </c>
      <c r="D149" t="s">
        <v>18</v>
      </c>
      <c r="E149" t="s">
        <v>19</v>
      </c>
      <c r="F149">
        <v>28</v>
      </c>
      <c r="G149" t="s">
        <v>28</v>
      </c>
      <c r="H149" t="s">
        <v>29</v>
      </c>
      <c r="I149" t="s">
        <v>21</v>
      </c>
      <c r="J149" t="s">
        <v>190</v>
      </c>
      <c r="K149">
        <v>5</v>
      </c>
      <c r="L149">
        <v>6136</v>
      </c>
      <c r="M149">
        <v>10</v>
      </c>
      <c r="N149">
        <v>27612</v>
      </c>
      <c r="O149" s="22" t="s">
        <v>32</v>
      </c>
    </row>
    <row r="150" spans="1:15">
      <c r="A150" s="20" t="s">
        <v>525</v>
      </c>
      <c r="B150" s="16" t="s">
        <v>526</v>
      </c>
      <c r="C150" t="s">
        <v>527</v>
      </c>
      <c r="D150" t="s">
        <v>91</v>
      </c>
      <c r="E150" t="s">
        <v>37</v>
      </c>
      <c r="F150">
        <v>47</v>
      </c>
      <c r="G150" t="s">
        <v>70</v>
      </c>
      <c r="H150" t="s">
        <v>70</v>
      </c>
      <c r="I150" t="s">
        <v>59</v>
      </c>
      <c r="J150" t="s">
        <v>110</v>
      </c>
      <c r="K150">
        <v>2</v>
      </c>
      <c r="L150">
        <v>4813</v>
      </c>
      <c r="M150">
        <v>0</v>
      </c>
      <c r="N150">
        <v>9626</v>
      </c>
      <c r="O150" s="22" t="s">
        <v>23</v>
      </c>
    </row>
    <row r="151" ht="15.75" spans="1:15">
      <c r="A151" s="49" t="s">
        <v>528</v>
      </c>
      <c r="B151" s="50" t="s">
        <v>529</v>
      </c>
      <c r="C151" s="51" t="s">
        <v>530</v>
      </c>
      <c r="D151" s="51" t="s">
        <v>204</v>
      </c>
      <c r="E151" s="51" t="s">
        <v>37</v>
      </c>
      <c r="F151" s="51">
        <v>47</v>
      </c>
      <c r="G151" s="51" t="s">
        <v>20</v>
      </c>
      <c r="H151" s="51" t="s">
        <v>20</v>
      </c>
      <c r="I151" s="51" t="s">
        <v>83</v>
      </c>
      <c r="J151" s="51" t="s">
        <v>92</v>
      </c>
      <c r="K151" s="51">
        <v>1</v>
      </c>
      <c r="L151" s="51">
        <v>541</v>
      </c>
      <c r="M151" s="51">
        <v>15</v>
      </c>
      <c r="N151" s="51">
        <v>459.85</v>
      </c>
      <c r="O151" s="52" t="s">
        <v>32</v>
      </c>
    </row>
  </sheetData>
  <mergeCells count="4">
    <mergeCell ref="Q4:U4"/>
    <mergeCell ref="Q11:T11"/>
    <mergeCell ref="Q18:V18"/>
    <mergeCell ref="Q25:T25"/>
  </mergeCells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51"/>
  <sheetViews>
    <sheetView topLeftCell="J1" workbookViewId="0">
      <selection activeCell="N18" sqref="N18"/>
    </sheetView>
  </sheetViews>
  <sheetFormatPr defaultColWidth="9.14285714285714" defaultRowHeight="15"/>
  <cols>
    <col min="1" max="1" width="9" customWidth="1"/>
    <col min="2" max="2" width="11.4285714285714" customWidth="1"/>
    <col min="3" max="3" width="12.7142857142857" customWidth="1"/>
    <col min="4" max="4" width="16.5714285714286" customWidth="1"/>
    <col min="5" max="5" width="8.28571428571429" customWidth="1"/>
    <col min="6" max="6" width="5" customWidth="1"/>
    <col min="7" max="7" width="12.5714285714286" customWidth="1"/>
    <col min="8" max="8" width="16.8571428571429" customWidth="1"/>
    <col min="9" max="9" width="17.5714285714286" customWidth="1"/>
    <col min="10" max="10" width="19" customWidth="1"/>
    <col min="11" max="11" width="9.28571428571429" customWidth="1"/>
    <col min="12" max="12" width="10.2857142857143" customWidth="1"/>
    <col min="13" max="13" width="13" customWidth="1"/>
    <col min="14" max="14" width="14.1428571428571" customWidth="1"/>
    <col min="15" max="15" width="15.7142857142857" customWidth="1"/>
    <col min="17" max="19" width="16.5714285714286" customWidth="1"/>
  </cols>
  <sheetData>
    <row r="1" ht="15.75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7" t="s">
        <v>15</v>
      </c>
      <c r="B2" s="19" t="s">
        <v>16</v>
      </c>
      <c r="C2" s="19" t="s">
        <v>17</v>
      </c>
      <c r="D2" s="19" t="s">
        <v>18</v>
      </c>
      <c r="E2" s="19" t="s">
        <v>19</v>
      </c>
      <c r="F2" s="19">
        <v>35</v>
      </c>
      <c r="G2" s="19" t="s">
        <v>20</v>
      </c>
      <c r="H2" s="19" t="s">
        <v>20</v>
      </c>
      <c r="I2" s="19" t="s">
        <v>21</v>
      </c>
      <c r="J2" s="19" t="s">
        <v>22</v>
      </c>
      <c r="K2" s="19">
        <v>1</v>
      </c>
      <c r="L2" s="19">
        <v>1760</v>
      </c>
      <c r="M2" s="19">
        <v>5</v>
      </c>
      <c r="N2" s="19">
        <v>1672</v>
      </c>
      <c r="O2" s="21" t="s">
        <v>23</v>
      </c>
    </row>
    <row r="3" spans="1:23">
      <c r="A3" s="20" t="s">
        <v>24</v>
      </c>
      <c r="B3" t="s">
        <v>25</v>
      </c>
      <c r="C3" t="s">
        <v>26</v>
      </c>
      <c r="D3" t="s">
        <v>27</v>
      </c>
      <c r="E3" t="s">
        <v>19</v>
      </c>
      <c r="F3">
        <v>23</v>
      </c>
      <c r="G3" t="s">
        <v>28</v>
      </c>
      <c r="H3" t="s">
        <v>29</v>
      </c>
      <c r="I3" t="s">
        <v>30</v>
      </c>
      <c r="J3" t="s">
        <v>31</v>
      </c>
      <c r="K3">
        <v>3</v>
      </c>
      <c r="L3">
        <v>3380</v>
      </c>
      <c r="M3">
        <v>5</v>
      </c>
      <c r="N3">
        <v>9633</v>
      </c>
      <c r="O3" s="22" t="s">
        <v>32</v>
      </c>
      <c r="Q3" s="67" t="s">
        <v>538</v>
      </c>
      <c r="R3" s="67"/>
      <c r="S3" s="67"/>
      <c r="T3" s="67"/>
      <c r="U3" s="67"/>
      <c r="V3" s="67"/>
      <c r="W3" s="67"/>
    </row>
    <row r="4" spans="1:23">
      <c r="A4" s="20" t="s">
        <v>33</v>
      </c>
      <c r="B4" t="s">
        <v>34</v>
      </c>
      <c r="C4" t="s">
        <v>35</v>
      </c>
      <c r="D4" t="s">
        <v>36</v>
      </c>
      <c r="E4" t="s">
        <v>37</v>
      </c>
      <c r="F4">
        <v>25</v>
      </c>
      <c r="G4" t="s">
        <v>38</v>
      </c>
      <c r="H4" t="s">
        <v>39</v>
      </c>
      <c r="I4" t="s">
        <v>30</v>
      </c>
      <c r="J4" t="s">
        <v>31</v>
      </c>
      <c r="K4">
        <v>3</v>
      </c>
      <c r="L4">
        <v>5589</v>
      </c>
      <c r="M4">
        <v>0</v>
      </c>
      <c r="N4">
        <v>16767</v>
      </c>
      <c r="O4" s="22" t="s">
        <v>32</v>
      </c>
      <c r="Q4" s="67"/>
      <c r="R4" s="67"/>
      <c r="S4" s="67"/>
      <c r="T4" s="67"/>
      <c r="U4" s="67"/>
      <c r="V4" s="67"/>
      <c r="W4" s="67"/>
    </row>
    <row r="5" spans="1:15">
      <c r="A5" s="20" t="s">
        <v>40</v>
      </c>
      <c r="B5" t="s">
        <v>41</v>
      </c>
      <c r="C5" t="s">
        <v>42</v>
      </c>
      <c r="D5" t="s">
        <v>27</v>
      </c>
      <c r="E5" t="s">
        <v>19</v>
      </c>
      <c r="F5">
        <v>20</v>
      </c>
      <c r="G5" t="s">
        <v>43</v>
      </c>
      <c r="H5" t="s">
        <v>44</v>
      </c>
      <c r="I5" t="s">
        <v>30</v>
      </c>
      <c r="J5" t="s">
        <v>45</v>
      </c>
      <c r="K5">
        <v>4</v>
      </c>
      <c r="L5">
        <v>4631</v>
      </c>
      <c r="M5">
        <v>0</v>
      </c>
      <c r="N5">
        <v>18524</v>
      </c>
      <c r="O5" s="22" t="s">
        <v>32</v>
      </c>
    </row>
    <row r="6" spans="1:19">
      <c r="A6" s="20" t="s">
        <v>46</v>
      </c>
      <c r="B6" t="s">
        <v>47</v>
      </c>
      <c r="C6" t="s">
        <v>48</v>
      </c>
      <c r="D6" t="s">
        <v>49</v>
      </c>
      <c r="E6" t="s">
        <v>19</v>
      </c>
      <c r="F6">
        <v>43</v>
      </c>
      <c r="G6" t="s">
        <v>50</v>
      </c>
      <c r="H6" t="s">
        <v>51</v>
      </c>
      <c r="I6" t="s">
        <v>30</v>
      </c>
      <c r="J6" t="s">
        <v>52</v>
      </c>
      <c r="K6">
        <v>2</v>
      </c>
      <c r="L6">
        <v>1498</v>
      </c>
      <c r="M6">
        <v>0</v>
      </c>
      <c r="N6">
        <v>2996</v>
      </c>
      <c r="O6" s="22" t="s">
        <v>32</v>
      </c>
      <c r="R6" s="62" t="s">
        <v>2</v>
      </c>
      <c r="S6" s="62" t="s">
        <v>3</v>
      </c>
    </row>
    <row r="7" spans="1:19">
      <c r="A7" s="20" t="s">
        <v>53</v>
      </c>
      <c r="B7" t="s">
        <v>54</v>
      </c>
      <c r="C7" t="s">
        <v>55</v>
      </c>
      <c r="D7" t="s">
        <v>56</v>
      </c>
      <c r="E7" t="s">
        <v>37</v>
      </c>
      <c r="F7">
        <v>20</v>
      </c>
      <c r="G7" t="s">
        <v>57</v>
      </c>
      <c r="H7" t="s">
        <v>58</v>
      </c>
      <c r="I7" t="s">
        <v>59</v>
      </c>
      <c r="J7" t="s">
        <v>60</v>
      </c>
      <c r="K7">
        <v>5</v>
      </c>
      <c r="L7">
        <v>2058</v>
      </c>
      <c r="M7">
        <v>10</v>
      </c>
      <c r="N7">
        <v>9261</v>
      </c>
      <c r="O7" s="22" t="s">
        <v>61</v>
      </c>
      <c r="R7" s="66" t="s">
        <v>26</v>
      </c>
      <c r="S7" s="66" t="str">
        <f>VLOOKUP(R7,C1:D151,2,0)</f>
        <v>Rakesh</v>
      </c>
    </row>
    <row r="8" spans="1:15">
      <c r="A8" s="20" t="s">
        <v>62</v>
      </c>
      <c r="B8" t="s">
        <v>63</v>
      </c>
      <c r="C8" t="s">
        <v>64</v>
      </c>
      <c r="D8" t="s">
        <v>36</v>
      </c>
      <c r="E8" t="s">
        <v>37</v>
      </c>
      <c r="F8">
        <v>20</v>
      </c>
      <c r="G8" t="s">
        <v>38</v>
      </c>
      <c r="H8" t="s">
        <v>39</v>
      </c>
      <c r="I8" t="s">
        <v>30</v>
      </c>
      <c r="J8" t="s">
        <v>52</v>
      </c>
      <c r="K8">
        <v>3</v>
      </c>
      <c r="L8">
        <v>3392</v>
      </c>
      <c r="M8">
        <v>0</v>
      </c>
      <c r="N8">
        <v>10176</v>
      </c>
      <c r="O8" s="22" t="s">
        <v>65</v>
      </c>
    </row>
    <row r="9" spans="1:15">
      <c r="A9" s="20" t="s">
        <v>66</v>
      </c>
      <c r="B9" t="s">
        <v>67</v>
      </c>
      <c r="C9" t="s">
        <v>68</v>
      </c>
      <c r="D9" t="s">
        <v>69</v>
      </c>
      <c r="E9" t="s">
        <v>37</v>
      </c>
      <c r="F9">
        <v>31</v>
      </c>
      <c r="G9" t="s">
        <v>70</v>
      </c>
      <c r="H9" t="s">
        <v>70</v>
      </c>
      <c r="I9" t="s">
        <v>59</v>
      </c>
      <c r="J9" t="s">
        <v>71</v>
      </c>
      <c r="K9">
        <v>5</v>
      </c>
      <c r="L9">
        <v>3267</v>
      </c>
      <c r="M9">
        <v>5</v>
      </c>
      <c r="N9">
        <v>15518.25</v>
      </c>
      <c r="O9" s="22" t="s">
        <v>32</v>
      </c>
    </row>
    <row r="10" spans="1:15">
      <c r="A10" s="20" t="s">
        <v>72</v>
      </c>
      <c r="B10" t="s">
        <v>73</v>
      </c>
      <c r="C10" t="s">
        <v>74</v>
      </c>
      <c r="D10" t="s">
        <v>75</v>
      </c>
      <c r="E10" t="s">
        <v>19</v>
      </c>
      <c r="F10">
        <v>48</v>
      </c>
      <c r="G10" t="s">
        <v>70</v>
      </c>
      <c r="H10" t="s">
        <v>70</v>
      </c>
      <c r="I10" t="s">
        <v>30</v>
      </c>
      <c r="J10" t="s">
        <v>76</v>
      </c>
      <c r="K10">
        <v>4</v>
      </c>
      <c r="L10">
        <v>4493</v>
      </c>
      <c r="M10">
        <v>15</v>
      </c>
      <c r="N10">
        <v>15276.2</v>
      </c>
      <c r="O10" s="22" t="s">
        <v>23</v>
      </c>
    </row>
    <row r="11" spans="1:15">
      <c r="A11" s="20" t="s">
        <v>77</v>
      </c>
      <c r="B11" t="s">
        <v>78</v>
      </c>
      <c r="C11" t="s">
        <v>79</v>
      </c>
      <c r="D11" t="s">
        <v>80</v>
      </c>
      <c r="E11" t="s">
        <v>19</v>
      </c>
      <c r="F11">
        <v>37</v>
      </c>
      <c r="G11" t="s">
        <v>81</v>
      </c>
      <c r="H11" t="s">
        <v>82</v>
      </c>
      <c r="I11" t="s">
        <v>83</v>
      </c>
      <c r="J11" t="s">
        <v>84</v>
      </c>
      <c r="K11">
        <v>4</v>
      </c>
      <c r="L11">
        <v>4100</v>
      </c>
      <c r="M11">
        <v>15</v>
      </c>
      <c r="N11">
        <v>13940</v>
      </c>
      <c r="O11" s="22" t="s">
        <v>32</v>
      </c>
    </row>
    <row r="12" spans="1:15">
      <c r="A12" s="20" t="s">
        <v>85</v>
      </c>
      <c r="B12" t="s">
        <v>86</v>
      </c>
      <c r="C12" t="s">
        <v>87</v>
      </c>
      <c r="D12" t="s">
        <v>27</v>
      </c>
      <c r="E12" t="s">
        <v>19</v>
      </c>
      <c r="F12">
        <v>22</v>
      </c>
      <c r="G12" t="s">
        <v>43</v>
      </c>
      <c r="H12" t="s">
        <v>44</v>
      </c>
      <c r="I12" t="s">
        <v>30</v>
      </c>
      <c r="J12" t="s">
        <v>52</v>
      </c>
      <c r="K12">
        <v>1</v>
      </c>
      <c r="L12">
        <v>5984</v>
      </c>
      <c r="M12">
        <v>20</v>
      </c>
      <c r="N12">
        <v>4787.2</v>
      </c>
      <c r="O12" s="22" t="s">
        <v>65</v>
      </c>
    </row>
    <row r="13" spans="1:15">
      <c r="A13" s="20" t="s">
        <v>88</v>
      </c>
      <c r="B13" t="s">
        <v>89</v>
      </c>
      <c r="C13" t="s">
        <v>90</v>
      </c>
      <c r="D13" t="s">
        <v>91</v>
      </c>
      <c r="E13" t="s">
        <v>37</v>
      </c>
      <c r="F13">
        <v>44</v>
      </c>
      <c r="G13" t="s">
        <v>81</v>
      </c>
      <c r="H13" t="s">
        <v>82</v>
      </c>
      <c r="I13" t="s">
        <v>83</v>
      </c>
      <c r="J13" t="s">
        <v>92</v>
      </c>
      <c r="K13">
        <v>5</v>
      </c>
      <c r="L13">
        <v>7377</v>
      </c>
      <c r="M13">
        <v>10</v>
      </c>
      <c r="N13">
        <v>33196.5</v>
      </c>
      <c r="O13" s="22" t="s">
        <v>23</v>
      </c>
    </row>
    <row r="14" spans="1:15">
      <c r="A14" s="20" t="s">
        <v>93</v>
      </c>
      <c r="B14" t="s">
        <v>94</v>
      </c>
      <c r="C14" t="s">
        <v>95</v>
      </c>
      <c r="D14" t="s">
        <v>18</v>
      </c>
      <c r="E14" t="s">
        <v>19</v>
      </c>
      <c r="F14">
        <v>44</v>
      </c>
      <c r="G14" t="s">
        <v>28</v>
      </c>
      <c r="H14" t="s">
        <v>29</v>
      </c>
      <c r="I14" t="s">
        <v>30</v>
      </c>
      <c r="J14" t="s">
        <v>96</v>
      </c>
      <c r="K14">
        <v>4</v>
      </c>
      <c r="L14">
        <v>6272</v>
      </c>
      <c r="M14">
        <v>10</v>
      </c>
      <c r="N14">
        <v>22579.2</v>
      </c>
      <c r="O14" s="22" t="s">
        <v>65</v>
      </c>
    </row>
    <row r="15" spans="1:15">
      <c r="A15" s="20" t="s">
        <v>97</v>
      </c>
      <c r="B15" t="s">
        <v>98</v>
      </c>
      <c r="C15" t="s">
        <v>99</v>
      </c>
      <c r="D15" t="s">
        <v>69</v>
      </c>
      <c r="E15" t="s">
        <v>37</v>
      </c>
      <c r="F15">
        <v>28</v>
      </c>
      <c r="G15" t="s">
        <v>100</v>
      </c>
      <c r="H15" t="s">
        <v>101</v>
      </c>
      <c r="I15" t="s">
        <v>59</v>
      </c>
      <c r="J15" t="s">
        <v>71</v>
      </c>
      <c r="K15">
        <v>4</v>
      </c>
      <c r="L15">
        <v>6200</v>
      </c>
      <c r="M15">
        <v>0</v>
      </c>
      <c r="N15">
        <v>24800</v>
      </c>
      <c r="O15" s="22" t="s">
        <v>23</v>
      </c>
    </row>
    <row r="16" spans="1:15">
      <c r="A16" s="20" t="s">
        <v>102</v>
      </c>
      <c r="B16" t="s">
        <v>103</v>
      </c>
      <c r="C16" t="s">
        <v>104</v>
      </c>
      <c r="D16" t="s">
        <v>105</v>
      </c>
      <c r="E16" t="s">
        <v>37</v>
      </c>
      <c r="F16">
        <v>38</v>
      </c>
      <c r="G16" t="s">
        <v>43</v>
      </c>
      <c r="H16" t="s">
        <v>44</v>
      </c>
      <c r="I16" t="s">
        <v>83</v>
      </c>
      <c r="J16" t="s">
        <v>92</v>
      </c>
      <c r="K16">
        <v>4</v>
      </c>
      <c r="L16">
        <v>5435</v>
      </c>
      <c r="M16">
        <v>20</v>
      </c>
      <c r="N16">
        <v>17392</v>
      </c>
      <c r="O16" s="22" t="s">
        <v>23</v>
      </c>
    </row>
    <row r="17" spans="1:15">
      <c r="A17" s="20" t="s">
        <v>106</v>
      </c>
      <c r="B17" t="s">
        <v>107</v>
      </c>
      <c r="C17" t="s">
        <v>108</v>
      </c>
      <c r="D17" t="s">
        <v>109</v>
      </c>
      <c r="E17" t="s">
        <v>19</v>
      </c>
      <c r="F17">
        <v>22</v>
      </c>
      <c r="G17" t="s">
        <v>43</v>
      </c>
      <c r="H17" t="s">
        <v>44</v>
      </c>
      <c r="I17" t="s">
        <v>59</v>
      </c>
      <c r="J17" t="s">
        <v>110</v>
      </c>
      <c r="K17">
        <v>3</v>
      </c>
      <c r="L17">
        <v>933</v>
      </c>
      <c r="M17">
        <v>20</v>
      </c>
      <c r="N17">
        <v>2239.2</v>
      </c>
      <c r="O17" s="22" t="s">
        <v>23</v>
      </c>
    </row>
    <row r="18" spans="1:15">
      <c r="A18" s="20" t="s">
        <v>111</v>
      </c>
      <c r="B18" t="s">
        <v>112</v>
      </c>
      <c r="C18" t="s">
        <v>113</v>
      </c>
      <c r="D18" t="s">
        <v>114</v>
      </c>
      <c r="E18" t="s">
        <v>37</v>
      </c>
      <c r="F18">
        <v>23</v>
      </c>
      <c r="G18" t="s">
        <v>38</v>
      </c>
      <c r="H18" t="s">
        <v>39</v>
      </c>
      <c r="I18" t="s">
        <v>83</v>
      </c>
      <c r="J18" t="s">
        <v>92</v>
      </c>
      <c r="K18">
        <v>2</v>
      </c>
      <c r="L18">
        <v>1479</v>
      </c>
      <c r="M18">
        <v>20</v>
      </c>
      <c r="N18">
        <v>2366.4</v>
      </c>
      <c r="O18" s="22" t="s">
        <v>65</v>
      </c>
    </row>
    <row r="19" spans="1:15">
      <c r="A19" s="20" t="s">
        <v>115</v>
      </c>
      <c r="B19" t="s">
        <v>116</v>
      </c>
      <c r="C19" t="s">
        <v>117</v>
      </c>
      <c r="D19" t="s">
        <v>36</v>
      </c>
      <c r="E19" t="s">
        <v>37</v>
      </c>
      <c r="F19">
        <v>39</v>
      </c>
      <c r="G19" t="s">
        <v>38</v>
      </c>
      <c r="H19" t="s">
        <v>39</v>
      </c>
      <c r="I19" t="s">
        <v>83</v>
      </c>
      <c r="J19" t="s">
        <v>118</v>
      </c>
      <c r="K19">
        <v>3</v>
      </c>
      <c r="L19">
        <v>3426</v>
      </c>
      <c r="M19">
        <v>20</v>
      </c>
      <c r="N19">
        <v>8222.4</v>
      </c>
      <c r="O19" s="22" t="s">
        <v>32</v>
      </c>
    </row>
    <row r="20" spans="1:15">
      <c r="A20" s="20" t="s">
        <v>119</v>
      </c>
      <c r="B20" t="s">
        <v>120</v>
      </c>
      <c r="C20" t="s">
        <v>121</v>
      </c>
      <c r="D20" t="s">
        <v>56</v>
      </c>
      <c r="E20" t="s">
        <v>37</v>
      </c>
      <c r="F20">
        <v>24</v>
      </c>
      <c r="G20" t="s">
        <v>20</v>
      </c>
      <c r="H20" t="s">
        <v>20</v>
      </c>
      <c r="I20" t="s">
        <v>21</v>
      </c>
      <c r="J20" t="s">
        <v>22</v>
      </c>
      <c r="K20">
        <v>1</v>
      </c>
      <c r="L20">
        <v>3343</v>
      </c>
      <c r="M20">
        <v>5</v>
      </c>
      <c r="N20">
        <v>3175.85</v>
      </c>
      <c r="O20" s="22" t="s">
        <v>32</v>
      </c>
    </row>
    <row r="21" spans="1:15">
      <c r="A21" s="20" t="s">
        <v>122</v>
      </c>
      <c r="B21" t="s">
        <v>123</v>
      </c>
      <c r="C21" t="s">
        <v>124</v>
      </c>
      <c r="D21" t="s">
        <v>125</v>
      </c>
      <c r="E21" t="s">
        <v>37</v>
      </c>
      <c r="F21">
        <v>47</v>
      </c>
      <c r="G21" t="s">
        <v>70</v>
      </c>
      <c r="H21" t="s">
        <v>70</v>
      </c>
      <c r="I21" t="s">
        <v>83</v>
      </c>
      <c r="J21" t="s">
        <v>92</v>
      </c>
      <c r="K21">
        <v>3</v>
      </c>
      <c r="L21">
        <v>7309</v>
      </c>
      <c r="M21">
        <v>15</v>
      </c>
      <c r="N21">
        <v>18637.95</v>
      </c>
      <c r="O21" s="22" t="s">
        <v>65</v>
      </c>
    </row>
    <row r="22" spans="1:15">
      <c r="A22" s="20" t="s">
        <v>126</v>
      </c>
      <c r="B22" t="s">
        <v>127</v>
      </c>
      <c r="C22" t="s">
        <v>128</v>
      </c>
      <c r="D22" t="s">
        <v>18</v>
      </c>
      <c r="E22" t="s">
        <v>19</v>
      </c>
      <c r="F22">
        <v>24</v>
      </c>
      <c r="G22" t="s">
        <v>20</v>
      </c>
      <c r="H22" t="s">
        <v>20</v>
      </c>
      <c r="I22" t="s">
        <v>21</v>
      </c>
      <c r="J22" t="s">
        <v>129</v>
      </c>
      <c r="K22">
        <v>5</v>
      </c>
      <c r="L22">
        <v>2286</v>
      </c>
      <c r="M22">
        <v>15</v>
      </c>
      <c r="N22">
        <v>9715.5</v>
      </c>
      <c r="O22" s="22" t="s">
        <v>65</v>
      </c>
    </row>
    <row r="23" spans="1:15">
      <c r="A23" s="20" t="s">
        <v>130</v>
      </c>
      <c r="B23" t="s">
        <v>131</v>
      </c>
      <c r="C23" t="s">
        <v>132</v>
      </c>
      <c r="D23" t="s">
        <v>49</v>
      </c>
      <c r="E23" t="s">
        <v>19</v>
      </c>
      <c r="F23">
        <v>25</v>
      </c>
      <c r="G23" t="s">
        <v>100</v>
      </c>
      <c r="H23" t="s">
        <v>101</v>
      </c>
      <c r="I23" t="s">
        <v>83</v>
      </c>
      <c r="J23" t="s">
        <v>133</v>
      </c>
      <c r="K23">
        <v>3</v>
      </c>
      <c r="L23">
        <v>5782</v>
      </c>
      <c r="M23">
        <v>5</v>
      </c>
      <c r="N23">
        <v>16478.7</v>
      </c>
      <c r="O23" s="22" t="s">
        <v>61</v>
      </c>
    </row>
    <row r="24" spans="1:15">
      <c r="A24" s="20" t="s">
        <v>134</v>
      </c>
      <c r="B24" t="s">
        <v>135</v>
      </c>
      <c r="C24" t="s">
        <v>136</v>
      </c>
      <c r="D24" t="s">
        <v>105</v>
      </c>
      <c r="E24" t="s">
        <v>37</v>
      </c>
      <c r="F24">
        <v>23</v>
      </c>
      <c r="G24" t="s">
        <v>57</v>
      </c>
      <c r="H24" t="s">
        <v>58</v>
      </c>
      <c r="I24" t="s">
        <v>59</v>
      </c>
      <c r="J24" t="s">
        <v>110</v>
      </c>
      <c r="K24">
        <v>3</v>
      </c>
      <c r="L24">
        <v>2435</v>
      </c>
      <c r="M24">
        <v>20</v>
      </c>
      <c r="N24">
        <v>5844</v>
      </c>
      <c r="O24" s="22" t="s">
        <v>65</v>
      </c>
    </row>
    <row r="25" spans="1:15">
      <c r="A25" s="20" t="s">
        <v>137</v>
      </c>
      <c r="B25" t="s">
        <v>138</v>
      </c>
      <c r="C25" t="s">
        <v>139</v>
      </c>
      <c r="D25" t="s">
        <v>18</v>
      </c>
      <c r="E25" t="s">
        <v>19</v>
      </c>
      <c r="F25">
        <v>29</v>
      </c>
      <c r="G25" t="s">
        <v>140</v>
      </c>
      <c r="H25" t="s">
        <v>141</v>
      </c>
      <c r="I25" t="s">
        <v>83</v>
      </c>
      <c r="J25" t="s">
        <v>118</v>
      </c>
      <c r="K25">
        <v>2</v>
      </c>
      <c r="L25">
        <v>7432</v>
      </c>
      <c r="M25">
        <v>10</v>
      </c>
      <c r="N25">
        <v>13377.6</v>
      </c>
      <c r="O25" s="22" t="s">
        <v>65</v>
      </c>
    </row>
    <row r="26" spans="1:15">
      <c r="A26" s="20" t="s">
        <v>142</v>
      </c>
      <c r="B26" t="s">
        <v>143</v>
      </c>
      <c r="C26" t="s">
        <v>144</v>
      </c>
      <c r="D26" t="s">
        <v>145</v>
      </c>
      <c r="E26" t="s">
        <v>19</v>
      </c>
      <c r="F26">
        <v>50</v>
      </c>
      <c r="G26" t="s">
        <v>20</v>
      </c>
      <c r="H26" t="s">
        <v>20</v>
      </c>
      <c r="I26" t="s">
        <v>30</v>
      </c>
      <c r="J26" t="s">
        <v>76</v>
      </c>
      <c r="K26">
        <v>1</v>
      </c>
      <c r="L26">
        <v>3068</v>
      </c>
      <c r="M26">
        <v>10</v>
      </c>
      <c r="N26">
        <v>2761.2</v>
      </c>
      <c r="O26" s="22" t="s">
        <v>61</v>
      </c>
    </row>
    <row r="27" spans="1:15">
      <c r="A27" s="20" t="s">
        <v>146</v>
      </c>
      <c r="B27" t="s">
        <v>147</v>
      </c>
      <c r="C27" t="s">
        <v>148</v>
      </c>
      <c r="D27" t="s">
        <v>149</v>
      </c>
      <c r="E27" t="s">
        <v>37</v>
      </c>
      <c r="F27">
        <v>36</v>
      </c>
      <c r="G27" t="s">
        <v>57</v>
      </c>
      <c r="H27" t="s">
        <v>58</v>
      </c>
      <c r="I27" t="s">
        <v>30</v>
      </c>
      <c r="J27" t="s">
        <v>52</v>
      </c>
      <c r="K27">
        <v>3</v>
      </c>
      <c r="L27">
        <v>5800</v>
      </c>
      <c r="M27">
        <v>0</v>
      </c>
      <c r="N27">
        <v>17400</v>
      </c>
      <c r="O27" s="22" t="s">
        <v>61</v>
      </c>
    </row>
    <row r="28" spans="1:15">
      <c r="A28" s="20" t="s">
        <v>150</v>
      </c>
      <c r="B28" t="s">
        <v>151</v>
      </c>
      <c r="C28" t="s">
        <v>152</v>
      </c>
      <c r="D28" t="s">
        <v>91</v>
      </c>
      <c r="E28" t="s">
        <v>37</v>
      </c>
      <c r="F28">
        <v>35</v>
      </c>
      <c r="G28" t="s">
        <v>50</v>
      </c>
      <c r="H28" t="s">
        <v>51</v>
      </c>
      <c r="I28" t="s">
        <v>83</v>
      </c>
      <c r="J28" t="s">
        <v>84</v>
      </c>
      <c r="K28">
        <v>3</v>
      </c>
      <c r="L28">
        <v>1232</v>
      </c>
      <c r="M28">
        <v>10</v>
      </c>
      <c r="N28">
        <v>3326.4</v>
      </c>
      <c r="O28" s="22" t="s">
        <v>32</v>
      </c>
    </row>
    <row r="29" spans="1:15">
      <c r="A29" s="20" t="s">
        <v>153</v>
      </c>
      <c r="B29" t="s">
        <v>154</v>
      </c>
      <c r="C29" t="s">
        <v>155</v>
      </c>
      <c r="D29" t="s">
        <v>69</v>
      </c>
      <c r="E29" t="s">
        <v>37</v>
      </c>
      <c r="F29">
        <v>35</v>
      </c>
      <c r="G29" t="s">
        <v>50</v>
      </c>
      <c r="H29" t="s">
        <v>51</v>
      </c>
      <c r="I29" t="s">
        <v>30</v>
      </c>
      <c r="J29" t="s">
        <v>52</v>
      </c>
      <c r="K29">
        <v>2</v>
      </c>
      <c r="L29">
        <v>5106</v>
      </c>
      <c r="M29">
        <v>5</v>
      </c>
      <c r="N29">
        <v>9701.4</v>
      </c>
      <c r="O29" s="22" t="s">
        <v>61</v>
      </c>
    </row>
    <row r="30" spans="1:15">
      <c r="A30" s="20" t="s">
        <v>156</v>
      </c>
      <c r="B30" t="s">
        <v>157</v>
      </c>
      <c r="C30" t="s">
        <v>158</v>
      </c>
      <c r="D30" t="s">
        <v>159</v>
      </c>
      <c r="E30" t="s">
        <v>19</v>
      </c>
      <c r="F30">
        <v>31</v>
      </c>
      <c r="G30" t="s">
        <v>28</v>
      </c>
      <c r="H30" t="s">
        <v>29</v>
      </c>
      <c r="I30" t="s">
        <v>83</v>
      </c>
      <c r="J30" t="s">
        <v>133</v>
      </c>
      <c r="K30">
        <v>1</v>
      </c>
      <c r="L30">
        <v>4246</v>
      </c>
      <c r="M30">
        <v>15</v>
      </c>
      <c r="N30">
        <v>3609.1</v>
      </c>
      <c r="O30" s="22" t="s">
        <v>61</v>
      </c>
    </row>
    <row r="31" spans="1:15">
      <c r="A31" s="20" t="s">
        <v>160</v>
      </c>
      <c r="B31" t="s">
        <v>161</v>
      </c>
      <c r="C31" t="s">
        <v>162</v>
      </c>
      <c r="D31" t="s">
        <v>163</v>
      </c>
      <c r="E31" t="s">
        <v>19</v>
      </c>
      <c r="F31">
        <v>50</v>
      </c>
      <c r="G31" t="s">
        <v>100</v>
      </c>
      <c r="H31" t="s">
        <v>101</v>
      </c>
      <c r="I31" t="s">
        <v>83</v>
      </c>
      <c r="J31" t="s">
        <v>164</v>
      </c>
      <c r="K31">
        <v>3</v>
      </c>
      <c r="L31">
        <v>2000</v>
      </c>
      <c r="M31">
        <v>15</v>
      </c>
      <c r="N31">
        <v>5100</v>
      </c>
      <c r="O31" s="22" t="s">
        <v>61</v>
      </c>
    </row>
    <row r="32" spans="1:15">
      <c r="A32" s="20" t="s">
        <v>165</v>
      </c>
      <c r="B32" t="s">
        <v>166</v>
      </c>
      <c r="C32" t="s">
        <v>167</v>
      </c>
      <c r="D32" t="s">
        <v>18</v>
      </c>
      <c r="E32" t="s">
        <v>19</v>
      </c>
      <c r="F32">
        <v>50</v>
      </c>
      <c r="G32" t="s">
        <v>140</v>
      </c>
      <c r="H32" t="s">
        <v>141</v>
      </c>
      <c r="I32" t="s">
        <v>21</v>
      </c>
      <c r="J32" t="s">
        <v>129</v>
      </c>
      <c r="K32">
        <v>2</v>
      </c>
      <c r="L32">
        <v>254</v>
      </c>
      <c r="M32">
        <v>0</v>
      </c>
      <c r="N32">
        <v>508</v>
      </c>
      <c r="O32" s="22" t="s">
        <v>61</v>
      </c>
    </row>
    <row r="33" spans="1:15">
      <c r="A33" s="20" t="s">
        <v>168</v>
      </c>
      <c r="B33" t="s">
        <v>169</v>
      </c>
      <c r="C33" t="s">
        <v>170</v>
      </c>
      <c r="D33" t="s">
        <v>56</v>
      </c>
      <c r="E33" t="s">
        <v>37</v>
      </c>
      <c r="F33">
        <v>43</v>
      </c>
      <c r="G33" t="s">
        <v>43</v>
      </c>
      <c r="H33" t="s">
        <v>44</v>
      </c>
      <c r="I33" t="s">
        <v>59</v>
      </c>
      <c r="J33" t="s">
        <v>171</v>
      </c>
      <c r="K33">
        <v>5</v>
      </c>
      <c r="L33">
        <v>6436</v>
      </c>
      <c r="M33">
        <v>20</v>
      </c>
      <c r="N33">
        <v>25744</v>
      </c>
      <c r="O33" s="22" t="s">
        <v>61</v>
      </c>
    </row>
    <row r="34" spans="1:15">
      <c r="A34" s="20" t="s">
        <v>172</v>
      </c>
      <c r="B34" t="s">
        <v>173</v>
      </c>
      <c r="C34" t="s">
        <v>174</v>
      </c>
      <c r="D34" t="s">
        <v>56</v>
      </c>
      <c r="E34" t="s">
        <v>37</v>
      </c>
      <c r="F34">
        <v>49</v>
      </c>
      <c r="G34" t="s">
        <v>140</v>
      </c>
      <c r="H34" t="s">
        <v>141</v>
      </c>
      <c r="I34" t="s">
        <v>21</v>
      </c>
      <c r="J34" t="s">
        <v>22</v>
      </c>
      <c r="K34">
        <v>5</v>
      </c>
      <c r="L34">
        <v>6440</v>
      </c>
      <c r="M34">
        <v>10</v>
      </c>
      <c r="N34">
        <v>28980</v>
      </c>
      <c r="O34" s="22" t="s">
        <v>65</v>
      </c>
    </row>
    <row r="35" spans="1:15">
      <c r="A35" s="20" t="s">
        <v>175</v>
      </c>
      <c r="B35" t="s">
        <v>176</v>
      </c>
      <c r="C35" t="s">
        <v>177</v>
      </c>
      <c r="D35" t="s">
        <v>49</v>
      </c>
      <c r="E35" t="s">
        <v>19</v>
      </c>
      <c r="F35">
        <v>20</v>
      </c>
      <c r="G35" t="s">
        <v>70</v>
      </c>
      <c r="H35" t="s">
        <v>70</v>
      </c>
      <c r="I35" t="s">
        <v>21</v>
      </c>
      <c r="J35" t="s">
        <v>129</v>
      </c>
      <c r="K35">
        <v>3</v>
      </c>
      <c r="L35">
        <v>329</v>
      </c>
      <c r="M35">
        <v>10</v>
      </c>
      <c r="N35">
        <v>888.3</v>
      </c>
      <c r="O35" s="22" t="s">
        <v>32</v>
      </c>
    </row>
    <row r="36" spans="1:15">
      <c r="A36" s="20" t="s">
        <v>178</v>
      </c>
      <c r="B36" t="s">
        <v>179</v>
      </c>
      <c r="C36" t="s">
        <v>180</v>
      </c>
      <c r="D36" t="s">
        <v>69</v>
      </c>
      <c r="E36" t="s">
        <v>37</v>
      </c>
      <c r="F36">
        <v>39</v>
      </c>
      <c r="G36" t="s">
        <v>28</v>
      </c>
      <c r="H36" t="s">
        <v>29</v>
      </c>
      <c r="I36" t="s">
        <v>21</v>
      </c>
      <c r="J36" t="s">
        <v>22</v>
      </c>
      <c r="K36">
        <v>3</v>
      </c>
      <c r="L36">
        <v>3615</v>
      </c>
      <c r="M36">
        <v>10</v>
      </c>
      <c r="N36">
        <v>9760.5</v>
      </c>
      <c r="O36" s="22" t="s">
        <v>23</v>
      </c>
    </row>
    <row r="37" spans="1:15">
      <c r="A37" s="20" t="s">
        <v>181</v>
      </c>
      <c r="B37" t="s">
        <v>182</v>
      </c>
      <c r="C37" t="s">
        <v>183</v>
      </c>
      <c r="D37" t="s">
        <v>36</v>
      </c>
      <c r="E37" t="s">
        <v>37</v>
      </c>
      <c r="F37">
        <v>24</v>
      </c>
      <c r="G37" t="s">
        <v>70</v>
      </c>
      <c r="H37" t="s">
        <v>70</v>
      </c>
      <c r="I37" t="s">
        <v>30</v>
      </c>
      <c r="J37" t="s">
        <v>76</v>
      </c>
      <c r="K37">
        <v>5</v>
      </c>
      <c r="L37">
        <v>2853</v>
      </c>
      <c r="M37">
        <v>20</v>
      </c>
      <c r="N37">
        <v>11412</v>
      </c>
      <c r="O37" s="22" t="s">
        <v>32</v>
      </c>
    </row>
    <row r="38" spans="1:15">
      <c r="A38" s="20" t="s">
        <v>184</v>
      </c>
      <c r="B38" t="s">
        <v>185</v>
      </c>
      <c r="C38" t="s">
        <v>186</v>
      </c>
      <c r="D38" t="s">
        <v>56</v>
      </c>
      <c r="E38" t="s">
        <v>37</v>
      </c>
      <c r="F38">
        <v>48</v>
      </c>
      <c r="G38" t="s">
        <v>28</v>
      </c>
      <c r="H38" t="s">
        <v>29</v>
      </c>
      <c r="I38" t="s">
        <v>83</v>
      </c>
      <c r="J38" t="s">
        <v>92</v>
      </c>
      <c r="K38">
        <v>3</v>
      </c>
      <c r="L38">
        <v>5019</v>
      </c>
      <c r="M38">
        <v>20</v>
      </c>
      <c r="N38">
        <v>12045.6</v>
      </c>
      <c r="O38" s="22" t="s">
        <v>61</v>
      </c>
    </row>
    <row r="39" spans="1:15">
      <c r="A39" s="20" t="s">
        <v>187</v>
      </c>
      <c r="B39" t="s">
        <v>188</v>
      </c>
      <c r="C39" t="s">
        <v>189</v>
      </c>
      <c r="D39" t="s">
        <v>159</v>
      </c>
      <c r="E39" t="s">
        <v>19</v>
      </c>
      <c r="F39">
        <v>36</v>
      </c>
      <c r="G39" t="s">
        <v>140</v>
      </c>
      <c r="H39" t="s">
        <v>141</v>
      </c>
      <c r="I39" t="s">
        <v>21</v>
      </c>
      <c r="J39" t="s">
        <v>190</v>
      </c>
      <c r="K39">
        <v>3</v>
      </c>
      <c r="L39">
        <v>2835</v>
      </c>
      <c r="M39">
        <v>15</v>
      </c>
      <c r="N39">
        <v>7229.25</v>
      </c>
      <c r="O39" s="22" t="s">
        <v>23</v>
      </c>
    </row>
    <row r="40" spans="1:15">
      <c r="A40" s="20" t="s">
        <v>191</v>
      </c>
      <c r="B40" t="s">
        <v>192</v>
      </c>
      <c r="C40" t="s">
        <v>193</v>
      </c>
      <c r="D40" t="s">
        <v>125</v>
      </c>
      <c r="E40" t="s">
        <v>37</v>
      </c>
      <c r="F40">
        <v>25</v>
      </c>
      <c r="G40" t="s">
        <v>38</v>
      </c>
      <c r="H40" t="s">
        <v>39</v>
      </c>
      <c r="I40" t="s">
        <v>30</v>
      </c>
      <c r="J40" t="s">
        <v>76</v>
      </c>
      <c r="K40">
        <v>4</v>
      </c>
      <c r="L40">
        <v>7527</v>
      </c>
      <c r="M40">
        <v>20</v>
      </c>
      <c r="N40">
        <v>24086.4</v>
      </c>
      <c r="O40" s="22" t="s">
        <v>32</v>
      </c>
    </row>
    <row r="41" spans="1:15">
      <c r="A41" s="20" t="s">
        <v>194</v>
      </c>
      <c r="B41" t="s">
        <v>195</v>
      </c>
      <c r="C41" t="s">
        <v>196</v>
      </c>
      <c r="D41" t="s">
        <v>114</v>
      </c>
      <c r="E41" t="s">
        <v>37</v>
      </c>
      <c r="F41">
        <v>39</v>
      </c>
      <c r="G41" t="s">
        <v>20</v>
      </c>
      <c r="H41" t="s">
        <v>20</v>
      </c>
      <c r="I41" t="s">
        <v>21</v>
      </c>
      <c r="J41" t="s">
        <v>197</v>
      </c>
      <c r="K41">
        <v>5</v>
      </c>
      <c r="L41">
        <v>4784</v>
      </c>
      <c r="M41">
        <v>15</v>
      </c>
      <c r="N41">
        <v>20332</v>
      </c>
      <c r="O41" s="22" t="s">
        <v>61</v>
      </c>
    </row>
    <row r="42" spans="1:15">
      <c r="A42" s="20" t="s">
        <v>198</v>
      </c>
      <c r="B42" t="s">
        <v>199</v>
      </c>
      <c r="C42" t="s">
        <v>200</v>
      </c>
      <c r="D42" t="s">
        <v>149</v>
      </c>
      <c r="E42" t="s">
        <v>37</v>
      </c>
      <c r="F42">
        <v>32</v>
      </c>
      <c r="G42" t="s">
        <v>57</v>
      </c>
      <c r="H42" t="s">
        <v>58</v>
      </c>
      <c r="I42" t="s">
        <v>83</v>
      </c>
      <c r="J42" t="s">
        <v>164</v>
      </c>
      <c r="K42">
        <v>5</v>
      </c>
      <c r="L42">
        <v>6474</v>
      </c>
      <c r="M42">
        <v>10</v>
      </c>
      <c r="N42">
        <v>29133</v>
      </c>
      <c r="O42" s="22" t="s">
        <v>32</v>
      </c>
    </row>
    <row r="43" spans="1:15">
      <c r="A43" s="20" t="s">
        <v>201</v>
      </c>
      <c r="B43" t="s">
        <v>202</v>
      </c>
      <c r="C43" t="s">
        <v>203</v>
      </c>
      <c r="D43" t="s">
        <v>204</v>
      </c>
      <c r="E43" t="s">
        <v>37</v>
      </c>
      <c r="F43">
        <v>22</v>
      </c>
      <c r="G43" t="s">
        <v>57</v>
      </c>
      <c r="H43" t="s">
        <v>58</v>
      </c>
      <c r="I43" t="s">
        <v>30</v>
      </c>
      <c r="J43" t="s">
        <v>31</v>
      </c>
      <c r="K43">
        <v>5</v>
      </c>
      <c r="L43">
        <v>3694</v>
      </c>
      <c r="M43">
        <v>10</v>
      </c>
      <c r="N43">
        <v>16623</v>
      </c>
      <c r="O43" s="22" t="s">
        <v>65</v>
      </c>
    </row>
    <row r="44" spans="1:15">
      <c r="A44" s="20" t="s">
        <v>205</v>
      </c>
      <c r="B44" t="s">
        <v>206</v>
      </c>
      <c r="C44" t="s">
        <v>207</v>
      </c>
      <c r="D44" t="s">
        <v>49</v>
      </c>
      <c r="E44" t="s">
        <v>19</v>
      </c>
      <c r="F44">
        <v>49</v>
      </c>
      <c r="G44" t="s">
        <v>38</v>
      </c>
      <c r="H44" t="s">
        <v>39</v>
      </c>
      <c r="I44" t="s">
        <v>59</v>
      </c>
      <c r="J44" t="s">
        <v>171</v>
      </c>
      <c r="K44">
        <v>5</v>
      </c>
      <c r="L44">
        <v>2881</v>
      </c>
      <c r="M44">
        <v>20</v>
      </c>
      <c r="N44">
        <v>11524</v>
      </c>
      <c r="O44" s="22" t="s">
        <v>61</v>
      </c>
    </row>
    <row r="45" spans="1:15">
      <c r="A45" s="20" t="s">
        <v>208</v>
      </c>
      <c r="B45" t="s">
        <v>209</v>
      </c>
      <c r="C45" t="s">
        <v>210</v>
      </c>
      <c r="D45" t="s">
        <v>91</v>
      </c>
      <c r="E45" t="s">
        <v>37</v>
      </c>
      <c r="F45">
        <v>23</v>
      </c>
      <c r="G45" t="s">
        <v>50</v>
      </c>
      <c r="H45" t="s">
        <v>51</v>
      </c>
      <c r="I45" t="s">
        <v>59</v>
      </c>
      <c r="J45" t="s">
        <v>60</v>
      </c>
      <c r="K45">
        <v>1</v>
      </c>
      <c r="L45">
        <v>7464</v>
      </c>
      <c r="M45">
        <v>10</v>
      </c>
      <c r="N45">
        <v>6717.6</v>
      </c>
      <c r="O45" s="22" t="s">
        <v>32</v>
      </c>
    </row>
    <row r="46" spans="1:15">
      <c r="A46" s="20" t="s">
        <v>211</v>
      </c>
      <c r="B46" t="s">
        <v>212</v>
      </c>
      <c r="C46" t="s">
        <v>213</v>
      </c>
      <c r="D46" t="s">
        <v>109</v>
      </c>
      <c r="E46" t="s">
        <v>19</v>
      </c>
      <c r="F46">
        <v>47</v>
      </c>
      <c r="G46" t="s">
        <v>50</v>
      </c>
      <c r="H46" t="s">
        <v>51</v>
      </c>
      <c r="I46" t="s">
        <v>21</v>
      </c>
      <c r="J46" t="s">
        <v>22</v>
      </c>
      <c r="K46">
        <v>1</v>
      </c>
      <c r="L46">
        <v>7619</v>
      </c>
      <c r="M46">
        <v>10</v>
      </c>
      <c r="N46">
        <v>6857.1</v>
      </c>
      <c r="O46" s="22" t="s">
        <v>23</v>
      </c>
    </row>
    <row r="47" spans="1:15">
      <c r="A47" s="20" t="s">
        <v>214</v>
      </c>
      <c r="B47" t="s">
        <v>215</v>
      </c>
      <c r="C47" t="s">
        <v>216</v>
      </c>
      <c r="D47" t="s">
        <v>36</v>
      </c>
      <c r="E47" t="s">
        <v>37</v>
      </c>
      <c r="F47">
        <v>23</v>
      </c>
      <c r="G47" t="s">
        <v>140</v>
      </c>
      <c r="H47" t="s">
        <v>141</v>
      </c>
      <c r="I47" t="s">
        <v>30</v>
      </c>
      <c r="J47" t="s">
        <v>45</v>
      </c>
      <c r="K47">
        <v>2</v>
      </c>
      <c r="L47">
        <v>1087</v>
      </c>
      <c r="M47">
        <v>15</v>
      </c>
      <c r="N47">
        <v>1847.9</v>
      </c>
      <c r="O47" s="22" t="s">
        <v>61</v>
      </c>
    </row>
    <row r="48" spans="1:15">
      <c r="A48" s="20" t="s">
        <v>217</v>
      </c>
      <c r="B48" t="s">
        <v>218</v>
      </c>
      <c r="C48" t="s">
        <v>219</v>
      </c>
      <c r="D48" t="s">
        <v>204</v>
      </c>
      <c r="E48" t="s">
        <v>37</v>
      </c>
      <c r="F48">
        <v>40</v>
      </c>
      <c r="G48" t="s">
        <v>57</v>
      </c>
      <c r="H48" t="s">
        <v>58</v>
      </c>
      <c r="I48" t="s">
        <v>21</v>
      </c>
      <c r="J48" t="s">
        <v>197</v>
      </c>
      <c r="K48">
        <v>1</v>
      </c>
      <c r="L48">
        <v>6578</v>
      </c>
      <c r="M48">
        <v>5</v>
      </c>
      <c r="N48">
        <v>6249.1</v>
      </c>
      <c r="O48" s="22" t="s">
        <v>65</v>
      </c>
    </row>
    <row r="49" spans="1:15">
      <c r="A49" s="20" t="s">
        <v>220</v>
      </c>
      <c r="B49" t="s">
        <v>221</v>
      </c>
      <c r="C49" t="s">
        <v>222</v>
      </c>
      <c r="D49" t="s">
        <v>149</v>
      </c>
      <c r="E49" t="s">
        <v>37</v>
      </c>
      <c r="F49">
        <v>40</v>
      </c>
      <c r="G49" t="s">
        <v>38</v>
      </c>
      <c r="H49" t="s">
        <v>39</v>
      </c>
      <c r="I49" t="s">
        <v>21</v>
      </c>
      <c r="J49" t="s">
        <v>190</v>
      </c>
      <c r="K49">
        <v>3</v>
      </c>
      <c r="L49">
        <v>1977</v>
      </c>
      <c r="M49">
        <v>0</v>
      </c>
      <c r="N49">
        <v>5931</v>
      </c>
      <c r="O49" s="22" t="s">
        <v>32</v>
      </c>
    </row>
    <row r="50" spans="1:15">
      <c r="A50" s="20" t="s">
        <v>223</v>
      </c>
      <c r="B50" t="s">
        <v>224</v>
      </c>
      <c r="C50" t="s">
        <v>225</v>
      </c>
      <c r="D50" t="s">
        <v>75</v>
      </c>
      <c r="E50" t="s">
        <v>19</v>
      </c>
      <c r="F50">
        <v>26</v>
      </c>
      <c r="G50" t="s">
        <v>43</v>
      </c>
      <c r="H50" t="s">
        <v>44</v>
      </c>
      <c r="I50" t="s">
        <v>30</v>
      </c>
      <c r="J50" t="s">
        <v>76</v>
      </c>
      <c r="K50">
        <v>4</v>
      </c>
      <c r="L50">
        <v>2464</v>
      </c>
      <c r="M50">
        <v>0</v>
      </c>
      <c r="N50">
        <v>9856</v>
      </c>
      <c r="O50" s="22" t="s">
        <v>65</v>
      </c>
    </row>
    <row r="51" spans="1:15">
      <c r="A51" s="20" t="s">
        <v>226</v>
      </c>
      <c r="B51" t="s">
        <v>227</v>
      </c>
      <c r="C51" t="s">
        <v>228</v>
      </c>
      <c r="D51" t="s">
        <v>69</v>
      </c>
      <c r="E51" t="s">
        <v>37</v>
      </c>
      <c r="F51">
        <v>36</v>
      </c>
      <c r="G51" t="s">
        <v>81</v>
      </c>
      <c r="H51" t="s">
        <v>82</v>
      </c>
      <c r="I51" t="s">
        <v>59</v>
      </c>
      <c r="J51" t="s">
        <v>110</v>
      </c>
      <c r="K51">
        <v>1</v>
      </c>
      <c r="L51">
        <v>456</v>
      </c>
      <c r="M51">
        <v>5</v>
      </c>
      <c r="N51">
        <v>433.2</v>
      </c>
      <c r="O51" s="22" t="s">
        <v>65</v>
      </c>
    </row>
    <row r="52" spans="1:15">
      <c r="A52" s="20" t="s">
        <v>229</v>
      </c>
      <c r="B52" t="s">
        <v>230</v>
      </c>
      <c r="C52" t="s">
        <v>231</v>
      </c>
      <c r="D52" t="s">
        <v>105</v>
      </c>
      <c r="E52" t="s">
        <v>37</v>
      </c>
      <c r="F52">
        <v>39</v>
      </c>
      <c r="G52" t="s">
        <v>57</v>
      </c>
      <c r="H52" t="s">
        <v>58</v>
      </c>
      <c r="I52" t="s">
        <v>30</v>
      </c>
      <c r="J52" t="s">
        <v>31</v>
      </c>
      <c r="K52">
        <v>2</v>
      </c>
      <c r="L52">
        <v>3284</v>
      </c>
      <c r="M52">
        <v>15</v>
      </c>
      <c r="N52">
        <v>5582.8</v>
      </c>
      <c r="O52" s="22" t="s">
        <v>23</v>
      </c>
    </row>
    <row r="53" spans="1:15">
      <c r="A53" s="20" t="s">
        <v>232</v>
      </c>
      <c r="B53" t="s">
        <v>233</v>
      </c>
      <c r="C53" t="s">
        <v>234</v>
      </c>
      <c r="D53" t="s">
        <v>114</v>
      </c>
      <c r="E53" t="s">
        <v>37</v>
      </c>
      <c r="F53">
        <v>27</v>
      </c>
      <c r="G53" t="s">
        <v>70</v>
      </c>
      <c r="H53" t="s">
        <v>70</v>
      </c>
      <c r="I53" t="s">
        <v>83</v>
      </c>
      <c r="J53" t="s">
        <v>92</v>
      </c>
      <c r="K53">
        <v>5</v>
      </c>
      <c r="L53">
        <v>6912</v>
      </c>
      <c r="M53">
        <v>0</v>
      </c>
      <c r="N53">
        <v>34560</v>
      </c>
      <c r="O53" s="22" t="s">
        <v>23</v>
      </c>
    </row>
    <row r="54" spans="1:15">
      <c r="A54" s="20" t="s">
        <v>235</v>
      </c>
      <c r="B54" t="s">
        <v>236</v>
      </c>
      <c r="C54" t="s">
        <v>237</v>
      </c>
      <c r="D54" t="s">
        <v>18</v>
      </c>
      <c r="E54" t="s">
        <v>19</v>
      </c>
      <c r="F54">
        <v>26</v>
      </c>
      <c r="G54" t="s">
        <v>50</v>
      </c>
      <c r="H54" t="s">
        <v>51</v>
      </c>
      <c r="I54" t="s">
        <v>30</v>
      </c>
      <c r="J54" t="s">
        <v>52</v>
      </c>
      <c r="K54">
        <v>1</v>
      </c>
      <c r="L54">
        <v>7586</v>
      </c>
      <c r="M54">
        <v>15</v>
      </c>
      <c r="N54">
        <v>6448.1</v>
      </c>
      <c r="O54" s="22" t="s">
        <v>32</v>
      </c>
    </row>
    <row r="55" spans="1:15">
      <c r="A55" s="20" t="s">
        <v>238</v>
      </c>
      <c r="B55" t="s">
        <v>239</v>
      </c>
      <c r="C55" t="s">
        <v>240</v>
      </c>
      <c r="D55" t="s">
        <v>18</v>
      </c>
      <c r="E55" t="s">
        <v>19</v>
      </c>
      <c r="F55">
        <v>44</v>
      </c>
      <c r="G55" t="s">
        <v>38</v>
      </c>
      <c r="H55" t="s">
        <v>39</v>
      </c>
      <c r="I55" t="s">
        <v>83</v>
      </c>
      <c r="J55" t="s">
        <v>133</v>
      </c>
      <c r="K55">
        <v>1</v>
      </c>
      <c r="L55">
        <v>1617</v>
      </c>
      <c r="M55">
        <v>5</v>
      </c>
      <c r="N55">
        <v>1536.15</v>
      </c>
      <c r="O55" s="22" t="s">
        <v>65</v>
      </c>
    </row>
    <row r="56" spans="1:15">
      <c r="A56" s="20" t="s">
        <v>241</v>
      </c>
      <c r="B56" t="s">
        <v>242</v>
      </c>
      <c r="C56" t="s">
        <v>243</v>
      </c>
      <c r="D56" t="s">
        <v>114</v>
      </c>
      <c r="E56" t="s">
        <v>37</v>
      </c>
      <c r="F56">
        <v>46</v>
      </c>
      <c r="G56" t="s">
        <v>70</v>
      </c>
      <c r="H56" t="s">
        <v>70</v>
      </c>
      <c r="I56" t="s">
        <v>59</v>
      </c>
      <c r="J56" t="s">
        <v>60</v>
      </c>
      <c r="K56">
        <v>5</v>
      </c>
      <c r="L56">
        <v>7192</v>
      </c>
      <c r="M56">
        <v>20</v>
      </c>
      <c r="N56">
        <v>28768</v>
      </c>
      <c r="O56" s="22" t="s">
        <v>32</v>
      </c>
    </row>
    <row r="57" spans="1:15">
      <c r="A57" s="20" t="s">
        <v>244</v>
      </c>
      <c r="B57" t="s">
        <v>245</v>
      </c>
      <c r="C57" t="s">
        <v>246</v>
      </c>
      <c r="D57" t="s">
        <v>145</v>
      </c>
      <c r="E57" t="s">
        <v>19</v>
      </c>
      <c r="F57">
        <v>34</v>
      </c>
      <c r="G57" t="s">
        <v>43</v>
      </c>
      <c r="H57" t="s">
        <v>44</v>
      </c>
      <c r="I57" t="s">
        <v>59</v>
      </c>
      <c r="J57" t="s">
        <v>110</v>
      </c>
      <c r="K57">
        <v>5</v>
      </c>
      <c r="L57">
        <v>2928</v>
      </c>
      <c r="M57">
        <v>0</v>
      </c>
      <c r="N57">
        <v>14640</v>
      </c>
      <c r="O57" s="22" t="s">
        <v>32</v>
      </c>
    </row>
    <row r="58" spans="1:15">
      <c r="A58" s="20" t="s">
        <v>247</v>
      </c>
      <c r="B58" t="s">
        <v>248</v>
      </c>
      <c r="C58" t="s">
        <v>249</v>
      </c>
      <c r="D58" t="s">
        <v>91</v>
      </c>
      <c r="E58" t="s">
        <v>37</v>
      </c>
      <c r="F58">
        <v>43</v>
      </c>
      <c r="G58" t="s">
        <v>57</v>
      </c>
      <c r="H58" t="s">
        <v>58</v>
      </c>
      <c r="I58" t="s">
        <v>83</v>
      </c>
      <c r="J58" t="s">
        <v>84</v>
      </c>
      <c r="K58">
        <v>2</v>
      </c>
      <c r="L58">
        <v>1292</v>
      </c>
      <c r="M58">
        <v>0</v>
      </c>
      <c r="N58">
        <v>2584</v>
      </c>
      <c r="O58" s="22" t="s">
        <v>32</v>
      </c>
    </row>
    <row r="59" spans="1:15">
      <c r="A59" s="20" t="s">
        <v>250</v>
      </c>
      <c r="B59" t="s">
        <v>251</v>
      </c>
      <c r="C59" t="s">
        <v>252</v>
      </c>
      <c r="D59" t="s">
        <v>253</v>
      </c>
      <c r="E59" t="s">
        <v>37</v>
      </c>
      <c r="F59">
        <v>25</v>
      </c>
      <c r="G59" t="s">
        <v>57</v>
      </c>
      <c r="H59" t="s">
        <v>58</v>
      </c>
      <c r="I59" t="s">
        <v>21</v>
      </c>
      <c r="J59" t="s">
        <v>129</v>
      </c>
      <c r="K59">
        <v>5</v>
      </c>
      <c r="L59">
        <v>2583</v>
      </c>
      <c r="M59">
        <v>10</v>
      </c>
      <c r="N59">
        <v>11623.5</v>
      </c>
      <c r="O59" s="22" t="s">
        <v>61</v>
      </c>
    </row>
    <row r="60" spans="1:15">
      <c r="A60" s="20" t="s">
        <v>254</v>
      </c>
      <c r="B60" t="s">
        <v>255</v>
      </c>
      <c r="C60" t="s">
        <v>256</v>
      </c>
      <c r="D60" t="s">
        <v>159</v>
      </c>
      <c r="E60" t="s">
        <v>19</v>
      </c>
      <c r="F60">
        <v>47</v>
      </c>
      <c r="G60" t="s">
        <v>140</v>
      </c>
      <c r="H60" t="s">
        <v>141</v>
      </c>
      <c r="I60" t="s">
        <v>30</v>
      </c>
      <c r="J60" t="s">
        <v>45</v>
      </c>
      <c r="K60">
        <v>2</v>
      </c>
      <c r="L60">
        <v>3844</v>
      </c>
      <c r="M60">
        <v>5</v>
      </c>
      <c r="N60">
        <v>7303.6</v>
      </c>
      <c r="O60" s="22" t="s">
        <v>23</v>
      </c>
    </row>
    <row r="61" spans="1:15">
      <c r="A61" s="20" t="s">
        <v>257</v>
      </c>
      <c r="B61" t="s">
        <v>258</v>
      </c>
      <c r="C61" t="s">
        <v>259</v>
      </c>
      <c r="D61" t="s">
        <v>114</v>
      </c>
      <c r="E61" t="s">
        <v>37</v>
      </c>
      <c r="F61">
        <v>24</v>
      </c>
      <c r="G61" t="s">
        <v>50</v>
      </c>
      <c r="H61" t="s">
        <v>51</v>
      </c>
      <c r="I61" t="s">
        <v>83</v>
      </c>
      <c r="J61" t="s">
        <v>164</v>
      </c>
      <c r="K61">
        <v>1</v>
      </c>
      <c r="L61">
        <v>3324</v>
      </c>
      <c r="M61">
        <v>5</v>
      </c>
      <c r="N61">
        <v>3157.8</v>
      </c>
      <c r="O61" s="22" t="s">
        <v>32</v>
      </c>
    </row>
    <row r="62" spans="1:15">
      <c r="A62" s="20" t="s">
        <v>260</v>
      </c>
      <c r="B62" t="s">
        <v>261</v>
      </c>
      <c r="C62" t="s">
        <v>262</v>
      </c>
      <c r="D62" t="s">
        <v>125</v>
      </c>
      <c r="E62" t="s">
        <v>37</v>
      </c>
      <c r="F62">
        <v>20</v>
      </c>
      <c r="G62" t="s">
        <v>20</v>
      </c>
      <c r="H62" t="s">
        <v>20</v>
      </c>
      <c r="I62" t="s">
        <v>30</v>
      </c>
      <c r="J62" t="s">
        <v>45</v>
      </c>
      <c r="K62">
        <v>1</v>
      </c>
      <c r="L62">
        <v>5894</v>
      </c>
      <c r="M62">
        <v>0</v>
      </c>
      <c r="N62">
        <v>5894</v>
      </c>
      <c r="O62" s="22" t="s">
        <v>65</v>
      </c>
    </row>
    <row r="63" spans="1:15">
      <c r="A63" s="20" t="s">
        <v>263</v>
      </c>
      <c r="B63" t="s">
        <v>264</v>
      </c>
      <c r="C63" t="s">
        <v>265</v>
      </c>
      <c r="D63" t="s">
        <v>49</v>
      </c>
      <c r="E63" t="s">
        <v>19</v>
      </c>
      <c r="F63">
        <v>37</v>
      </c>
      <c r="G63" t="s">
        <v>57</v>
      </c>
      <c r="H63" t="s">
        <v>58</v>
      </c>
      <c r="I63" t="s">
        <v>21</v>
      </c>
      <c r="J63" t="s">
        <v>190</v>
      </c>
      <c r="K63">
        <v>4</v>
      </c>
      <c r="L63">
        <v>500</v>
      </c>
      <c r="M63">
        <v>0</v>
      </c>
      <c r="N63">
        <v>2000</v>
      </c>
      <c r="O63" s="22" t="s">
        <v>23</v>
      </c>
    </row>
    <row r="64" spans="1:15">
      <c r="A64" s="20" t="s">
        <v>266</v>
      </c>
      <c r="B64" t="s">
        <v>267</v>
      </c>
      <c r="C64" t="s">
        <v>268</v>
      </c>
      <c r="D64" t="s">
        <v>125</v>
      </c>
      <c r="E64" t="s">
        <v>37</v>
      </c>
      <c r="F64">
        <v>35</v>
      </c>
      <c r="G64" t="s">
        <v>81</v>
      </c>
      <c r="H64" t="s">
        <v>82</v>
      </c>
      <c r="I64" t="s">
        <v>83</v>
      </c>
      <c r="J64" t="s">
        <v>133</v>
      </c>
      <c r="K64">
        <v>4</v>
      </c>
      <c r="L64">
        <v>710</v>
      </c>
      <c r="M64">
        <v>15</v>
      </c>
      <c r="N64">
        <v>2414</v>
      </c>
      <c r="O64" s="22" t="s">
        <v>23</v>
      </c>
    </row>
    <row r="65" spans="1:15">
      <c r="A65" s="20" t="s">
        <v>269</v>
      </c>
      <c r="B65" t="s">
        <v>270</v>
      </c>
      <c r="C65" t="s">
        <v>271</v>
      </c>
      <c r="D65" t="s">
        <v>109</v>
      </c>
      <c r="E65" t="s">
        <v>19</v>
      </c>
      <c r="F65">
        <v>33</v>
      </c>
      <c r="G65" t="s">
        <v>140</v>
      </c>
      <c r="H65" t="s">
        <v>141</v>
      </c>
      <c r="I65" t="s">
        <v>21</v>
      </c>
      <c r="J65" t="s">
        <v>197</v>
      </c>
      <c r="K65">
        <v>5</v>
      </c>
      <c r="L65">
        <v>6014</v>
      </c>
      <c r="M65">
        <v>5</v>
      </c>
      <c r="N65">
        <v>28566.5</v>
      </c>
      <c r="O65" s="22" t="s">
        <v>23</v>
      </c>
    </row>
    <row r="66" spans="1:15">
      <c r="A66" s="20" t="s">
        <v>272</v>
      </c>
      <c r="B66" t="s">
        <v>273</v>
      </c>
      <c r="C66" t="s">
        <v>274</v>
      </c>
      <c r="D66" t="s">
        <v>36</v>
      </c>
      <c r="E66" t="s">
        <v>37</v>
      </c>
      <c r="F66">
        <v>43</v>
      </c>
      <c r="G66" t="s">
        <v>28</v>
      </c>
      <c r="H66" t="s">
        <v>29</v>
      </c>
      <c r="I66" t="s">
        <v>83</v>
      </c>
      <c r="J66" t="s">
        <v>164</v>
      </c>
      <c r="K66">
        <v>4</v>
      </c>
      <c r="L66">
        <v>3249</v>
      </c>
      <c r="M66">
        <v>20</v>
      </c>
      <c r="N66">
        <v>10396.8</v>
      </c>
      <c r="O66" s="22" t="s">
        <v>65</v>
      </c>
    </row>
    <row r="67" spans="1:15">
      <c r="A67" s="20" t="s">
        <v>275</v>
      </c>
      <c r="B67" t="s">
        <v>276</v>
      </c>
      <c r="C67" t="s">
        <v>277</v>
      </c>
      <c r="D67" t="s">
        <v>75</v>
      </c>
      <c r="E67" t="s">
        <v>19</v>
      </c>
      <c r="F67">
        <v>35</v>
      </c>
      <c r="G67" t="s">
        <v>28</v>
      </c>
      <c r="H67" t="s">
        <v>29</v>
      </c>
      <c r="I67" t="s">
        <v>21</v>
      </c>
      <c r="J67" t="s">
        <v>197</v>
      </c>
      <c r="K67">
        <v>3</v>
      </c>
      <c r="L67">
        <v>2763</v>
      </c>
      <c r="M67">
        <v>0</v>
      </c>
      <c r="N67">
        <v>8289</v>
      </c>
      <c r="O67" s="22" t="s">
        <v>23</v>
      </c>
    </row>
    <row r="68" spans="1:15">
      <c r="A68" s="20" t="s">
        <v>278</v>
      </c>
      <c r="B68" t="s">
        <v>279</v>
      </c>
      <c r="C68" t="s">
        <v>280</v>
      </c>
      <c r="D68" t="s">
        <v>80</v>
      </c>
      <c r="E68" t="s">
        <v>19</v>
      </c>
      <c r="F68">
        <v>46</v>
      </c>
      <c r="G68" t="s">
        <v>50</v>
      </c>
      <c r="H68" t="s">
        <v>51</v>
      </c>
      <c r="I68" t="s">
        <v>21</v>
      </c>
      <c r="J68" t="s">
        <v>22</v>
      </c>
      <c r="K68">
        <v>5</v>
      </c>
      <c r="L68">
        <v>7448</v>
      </c>
      <c r="M68">
        <v>0</v>
      </c>
      <c r="N68">
        <v>37240</v>
      </c>
      <c r="O68" s="22" t="s">
        <v>32</v>
      </c>
    </row>
    <row r="69" spans="1:15">
      <c r="A69" s="20" t="s">
        <v>281</v>
      </c>
      <c r="B69" t="s">
        <v>282</v>
      </c>
      <c r="C69" t="s">
        <v>283</v>
      </c>
      <c r="D69" t="s">
        <v>36</v>
      </c>
      <c r="E69" t="s">
        <v>37</v>
      </c>
      <c r="F69">
        <v>47</v>
      </c>
      <c r="G69" t="s">
        <v>50</v>
      </c>
      <c r="H69" t="s">
        <v>51</v>
      </c>
      <c r="I69" t="s">
        <v>30</v>
      </c>
      <c r="J69" t="s">
        <v>76</v>
      </c>
      <c r="K69">
        <v>1</v>
      </c>
      <c r="L69">
        <v>2341</v>
      </c>
      <c r="M69">
        <v>15</v>
      </c>
      <c r="N69">
        <v>1989.85</v>
      </c>
      <c r="O69" s="22" t="s">
        <v>23</v>
      </c>
    </row>
    <row r="70" spans="1:15">
      <c r="A70" s="20" t="s">
        <v>284</v>
      </c>
      <c r="B70" t="s">
        <v>285</v>
      </c>
      <c r="C70" t="s">
        <v>286</v>
      </c>
      <c r="D70" t="s">
        <v>163</v>
      </c>
      <c r="E70" t="s">
        <v>19</v>
      </c>
      <c r="F70">
        <v>47</v>
      </c>
      <c r="G70" t="s">
        <v>20</v>
      </c>
      <c r="H70" t="s">
        <v>20</v>
      </c>
      <c r="I70" t="s">
        <v>83</v>
      </c>
      <c r="J70" t="s">
        <v>92</v>
      </c>
      <c r="K70">
        <v>2</v>
      </c>
      <c r="L70">
        <v>894</v>
      </c>
      <c r="M70">
        <v>20</v>
      </c>
      <c r="N70">
        <v>1430.4</v>
      </c>
      <c r="O70" s="22" t="s">
        <v>65</v>
      </c>
    </row>
    <row r="71" spans="1:15">
      <c r="A71" s="20" t="s">
        <v>287</v>
      </c>
      <c r="B71" t="s">
        <v>288</v>
      </c>
      <c r="C71" t="s">
        <v>289</v>
      </c>
      <c r="D71" t="s">
        <v>159</v>
      </c>
      <c r="E71" t="s">
        <v>19</v>
      </c>
      <c r="F71">
        <v>48</v>
      </c>
      <c r="G71" t="s">
        <v>70</v>
      </c>
      <c r="H71" t="s">
        <v>70</v>
      </c>
      <c r="I71" t="s">
        <v>21</v>
      </c>
      <c r="J71" t="s">
        <v>129</v>
      </c>
      <c r="K71">
        <v>3</v>
      </c>
      <c r="L71">
        <v>6556</v>
      </c>
      <c r="M71">
        <v>20</v>
      </c>
      <c r="N71">
        <v>15734.4</v>
      </c>
      <c r="O71" s="22" t="s">
        <v>23</v>
      </c>
    </row>
    <row r="72" spans="1:15">
      <c r="A72" s="20" t="s">
        <v>290</v>
      </c>
      <c r="B72" t="s">
        <v>291</v>
      </c>
      <c r="C72" t="s">
        <v>292</v>
      </c>
      <c r="D72" t="s">
        <v>159</v>
      </c>
      <c r="E72" t="s">
        <v>19</v>
      </c>
      <c r="F72">
        <v>20</v>
      </c>
      <c r="G72" t="s">
        <v>140</v>
      </c>
      <c r="H72" t="s">
        <v>141</v>
      </c>
      <c r="I72" t="s">
        <v>30</v>
      </c>
      <c r="J72" t="s">
        <v>45</v>
      </c>
      <c r="K72">
        <v>3</v>
      </c>
      <c r="L72">
        <v>4254</v>
      </c>
      <c r="M72">
        <v>20</v>
      </c>
      <c r="N72">
        <v>10209.6</v>
      </c>
      <c r="O72" s="22" t="s">
        <v>65</v>
      </c>
    </row>
    <row r="73" spans="1:15">
      <c r="A73" s="20" t="s">
        <v>293</v>
      </c>
      <c r="B73" t="s">
        <v>294</v>
      </c>
      <c r="C73" t="s">
        <v>295</v>
      </c>
      <c r="D73" t="s">
        <v>105</v>
      </c>
      <c r="E73" t="s">
        <v>37</v>
      </c>
      <c r="F73">
        <v>36</v>
      </c>
      <c r="G73" t="s">
        <v>140</v>
      </c>
      <c r="H73" t="s">
        <v>141</v>
      </c>
      <c r="I73" t="s">
        <v>59</v>
      </c>
      <c r="J73" t="s">
        <v>110</v>
      </c>
      <c r="K73">
        <v>5</v>
      </c>
      <c r="L73">
        <v>6616</v>
      </c>
      <c r="M73">
        <v>0</v>
      </c>
      <c r="N73">
        <v>33080</v>
      </c>
      <c r="O73" s="22" t="s">
        <v>61</v>
      </c>
    </row>
    <row r="74" spans="1:15">
      <c r="A74" s="20" t="s">
        <v>296</v>
      </c>
      <c r="B74" t="s">
        <v>297</v>
      </c>
      <c r="C74" t="s">
        <v>298</v>
      </c>
      <c r="D74" t="s">
        <v>125</v>
      </c>
      <c r="E74" t="s">
        <v>37</v>
      </c>
      <c r="F74">
        <v>47</v>
      </c>
      <c r="G74" t="s">
        <v>38</v>
      </c>
      <c r="H74" t="s">
        <v>39</v>
      </c>
      <c r="I74" t="s">
        <v>30</v>
      </c>
      <c r="J74" t="s">
        <v>96</v>
      </c>
      <c r="K74">
        <v>4</v>
      </c>
      <c r="L74">
        <v>2580</v>
      </c>
      <c r="M74">
        <v>10</v>
      </c>
      <c r="N74">
        <v>9288</v>
      </c>
      <c r="O74" s="22" t="s">
        <v>61</v>
      </c>
    </row>
    <row r="75" spans="1:15">
      <c r="A75" s="20" t="s">
        <v>299</v>
      </c>
      <c r="B75" t="s">
        <v>300</v>
      </c>
      <c r="C75" t="s">
        <v>301</v>
      </c>
      <c r="D75" t="s">
        <v>109</v>
      </c>
      <c r="E75" t="s">
        <v>19</v>
      </c>
      <c r="F75">
        <v>34</v>
      </c>
      <c r="G75" t="s">
        <v>140</v>
      </c>
      <c r="H75" t="s">
        <v>141</v>
      </c>
      <c r="I75" t="s">
        <v>30</v>
      </c>
      <c r="J75" t="s">
        <v>96</v>
      </c>
      <c r="K75">
        <v>1</v>
      </c>
      <c r="L75">
        <v>272</v>
      </c>
      <c r="M75">
        <v>5</v>
      </c>
      <c r="N75">
        <v>258.4</v>
      </c>
      <c r="O75" s="22" t="s">
        <v>32</v>
      </c>
    </row>
    <row r="76" spans="1:15">
      <c r="A76" s="20" t="s">
        <v>302</v>
      </c>
      <c r="B76" t="s">
        <v>303</v>
      </c>
      <c r="C76" t="s">
        <v>304</v>
      </c>
      <c r="D76" t="s">
        <v>27</v>
      </c>
      <c r="E76" t="s">
        <v>19</v>
      </c>
      <c r="F76">
        <v>42</v>
      </c>
      <c r="G76" t="s">
        <v>43</v>
      </c>
      <c r="H76" t="s">
        <v>44</v>
      </c>
      <c r="I76" t="s">
        <v>30</v>
      </c>
      <c r="J76" t="s">
        <v>96</v>
      </c>
      <c r="K76">
        <v>3</v>
      </c>
      <c r="L76">
        <v>2046</v>
      </c>
      <c r="M76">
        <v>10</v>
      </c>
      <c r="N76">
        <v>5524.2</v>
      </c>
      <c r="O76" s="22" t="s">
        <v>32</v>
      </c>
    </row>
    <row r="77" spans="1:15">
      <c r="A77" s="20" t="s">
        <v>305</v>
      </c>
      <c r="B77" t="s">
        <v>306</v>
      </c>
      <c r="C77" t="s">
        <v>307</v>
      </c>
      <c r="D77" t="s">
        <v>49</v>
      </c>
      <c r="E77" t="s">
        <v>19</v>
      </c>
      <c r="F77">
        <v>40</v>
      </c>
      <c r="G77" t="s">
        <v>28</v>
      </c>
      <c r="H77" t="s">
        <v>29</v>
      </c>
      <c r="I77" t="s">
        <v>30</v>
      </c>
      <c r="J77" t="s">
        <v>76</v>
      </c>
      <c r="K77">
        <v>2</v>
      </c>
      <c r="L77">
        <v>6869</v>
      </c>
      <c r="M77">
        <v>15</v>
      </c>
      <c r="N77">
        <v>11677.3</v>
      </c>
      <c r="O77" s="22" t="s">
        <v>61</v>
      </c>
    </row>
    <row r="78" spans="1:15">
      <c r="A78" s="20" t="s">
        <v>308</v>
      </c>
      <c r="B78" t="s">
        <v>309</v>
      </c>
      <c r="C78" t="s">
        <v>310</v>
      </c>
      <c r="D78" t="s">
        <v>125</v>
      </c>
      <c r="E78" t="s">
        <v>37</v>
      </c>
      <c r="F78">
        <v>22</v>
      </c>
      <c r="G78" t="s">
        <v>57</v>
      </c>
      <c r="H78" t="s">
        <v>58</v>
      </c>
      <c r="I78" t="s">
        <v>59</v>
      </c>
      <c r="J78" t="s">
        <v>110</v>
      </c>
      <c r="K78">
        <v>3</v>
      </c>
      <c r="L78">
        <v>7592</v>
      </c>
      <c r="M78">
        <v>0</v>
      </c>
      <c r="N78">
        <v>22776</v>
      </c>
      <c r="O78" s="22" t="s">
        <v>23</v>
      </c>
    </row>
    <row r="79" spans="1:15">
      <c r="A79" s="20" t="s">
        <v>311</v>
      </c>
      <c r="B79" t="s">
        <v>312</v>
      </c>
      <c r="C79" t="s">
        <v>313</v>
      </c>
      <c r="D79" t="s">
        <v>27</v>
      </c>
      <c r="E79" t="s">
        <v>19</v>
      </c>
      <c r="F79">
        <v>28</v>
      </c>
      <c r="G79" t="s">
        <v>28</v>
      </c>
      <c r="H79" t="s">
        <v>29</v>
      </c>
      <c r="I79" t="s">
        <v>83</v>
      </c>
      <c r="J79" t="s">
        <v>164</v>
      </c>
      <c r="K79">
        <v>1</v>
      </c>
      <c r="L79">
        <v>2855</v>
      </c>
      <c r="M79">
        <v>15</v>
      </c>
      <c r="N79">
        <v>2426.75</v>
      </c>
      <c r="O79" s="22" t="s">
        <v>65</v>
      </c>
    </row>
    <row r="80" spans="1:15">
      <c r="A80" s="20" t="s">
        <v>314</v>
      </c>
      <c r="B80" t="s">
        <v>315</v>
      </c>
      <c r="C80" t="s">
        <v>316</v>
      </c>
      <c r="D80" t="s">
        <v>125</v>
      </c>
      <c r="E80" t="s">
        <v>37</v>
      </c>
      <c r="F80">
        <v>50</v>
      </c>
      <c r="G80" t="s">
        <v>28</v>
      </c>
      <c r="H80" t="s">
        <v>29</v>
      </c>
      <c r="I80" t="s">
        <v>30</v>
      </c>
      <c r="J80" t="s">
        <v>76</v>
      </c>
      <c r="K80">
        <v>1</v>
      </c>
      <c r="L80">
        <v>2999</v>
      </c>
      <c r="M80">
        <v>5</v>
      </c>
      <c r="N80">
        <v>2849.05</v>
      </c>
      <c r="O80" s="22" t="s">
        <v>65</v>
      </c>
    </row>
    <row r="81" spans="1:15">
      <c r="A81" s="20" t="s">
        <v>317</v>
      </c>
      <c r="B81" t="s">
        <v>318</v>
      </c>
      <c r="C81" t="s">
        <v>319</v>
      </c>
      <c r="D81" t="s">
        <v>320</v>
      </c>
      <c r="E81" t="s">
        <v>19</v>
      </c>
      <c r="F81">
        <v>49</v>
      </c>
      <c r="G81" t="s">
        <v>43</v>
      </c>
      <c r="H81" t="s">
        <v>44</v>
      </c>
      <c r="I81" t="s">
        <v>83</v>
      </c>
      <c r="J81" t="s">
        <v>164</v>
      </c>
      <c r="K81">
        <v>2</v>
      </c>
      <c r="L81">
        <v>7090</v>
      </c>
      <c r="M81">
        <v>15</v>
      </c>
      <c r="N81">
        <v>12053</v>
      </c>
      <c r="O81" s="22" t="s">
        <v>65</v>
      </c>
    </row>
    <row r="82" spans="1:15">
      <c r="A82" s="20" t="s">
        <v>321</v>
      </c>
      <c r="B82" t="s">
        <v>322</v>
      </c>
      <c r="C82" t="s">
        <v>323</v>
      </c>
      <c r="D82" t="s">
        <v>145</v>
      </c>
      <c r="E82" t="s">
        <v>19</v>
      </c>
      <c r="F82">
        <v>30</v>
      </c>
      <c r="G82" t="s">
        <v>140</v>
      </c>
      <c r="H82" t="s">
        <v>141</v>
      </c>
      <c r="I82" t="s">
        <v>83</v>
      </c>
      <c r="J82" t="s">
        <v>118</v>
      </c>
      <c r="K82">
        <v>1</v>
      </c>
      <c r="L82">
        <v>6060</v>
      </c>
      <c r="M82">
        <v>15</v>
      </c>
      <c r="N82">
        <v>5151</v>
      </c>
      <c r="O82" s="22" t="s">
        <v>61</v>
      </c>
    </row>
    <row r="83" spans="1:15">
      <c r="A83" s="20" t="s">
        <v>324</v>
      </c>
      <c r="B83" t="s">
        <v>325</v>
      </c>
      <c r="C83" t="s">
        <v>326</v>
      </c>
      <c r="D83" t="s">
        <v>163</v>
      </c>
      <c r="E83" t="s">
        <v>19</v>
      </c>
      <c r="F83">
        <v>21</v>
      </c>
      <c r="G83" t="s">
        <v>38</v>
      </c>
      <c r="H83" t="s">
        <v>39</v>
      </c>
      <c r="I83" t="s">
        <v>59</v>
      </c>
      <c r="J83" t="s">
        <v>171</v>
      </c>
      <c r="K83">
        <v>3</v>
      </c>
      <c r="L83">
        <v>7598</v>
      </c>
      <c r="M83">
        <v>5</v>
      </c>
      <c r="N83">
        <v>21654.3</v>
      </c>
      <c r="O83" s="22" t="s">
        <v>32</v>
      </c>
    </row>
    <row r="84" spans="1:15">
      <c r="A84" s="20" t="s">
        <v>327</v>
      </c>
      <c r="B84" t="s">
        <v>328</v>
      </c>
      <c r="C84" t="s">
        <v>329</v>
      </c>
      <c r="D84" t="s">
        <v>80</v>
      </c>
      <c r="E84" t="s">
        <v>19</v>
      </c>
      <c r="F84">
        <v>25</v>
      </c>
      <c r="G84" t="s">
        <v>57</v>
      </c>
      <c r="H84" t="s">
        <v>58</v>
      </c>
      <c r="I84" t="s">
        <v>83</v>
      </c>
      <c r="J84" t="s">
        <v>92</v>
      </c>
      <c r="K84">
        <v>1</v>
      </c>
      <c r="L84">
        <v>4423</v>
      </c>
      <c r="M84">
        <v>10</v>
      </c>
      <c r="N84">
        <v>3980.7</v>
      </c>
      <c r="O84" s="22" t="s">
        <v>61</v>
      </c>
    </row>
    <row r="85" spans="1:15">
      <c r="A85" s="20" t="s">
        <v>330</v>
      </c>
      <c r="B85" t="s">
        <v>331</v>
      </c>
      <c r="C85" t="s">
        <v>332</v>
      </c>
      <c r="D85" t="s">
        <v>114</v>
      </c>
      <c r="E85" t="s">
        <v>37</v>
      </c>
      <c r="F85">
        <v>43</v>
      </c>
      <c r="G85" t="s">
        <v>81</v>
      </c>
      <c r="H85" t="s">
        <v>82</v>
      </c>
      <c r="I85" t="s">
        <v>30</v>
      </c>
      <c r="J85" t="s">
        <v>76</v>
      </c>
      <c r="K85">
        <v>4</v>
      </c>
      <c r="L85">
        <v>6171</v>
      </c>
      <c r="M85">
        <v>15</v>
      </c>
      <c r="N85">
        <v>20981.4</v>
      </c>
      <c r="O85" s="22" t="s">
        <v>65</v>
      </c>
    </row>
    <row r="86" spans="1:15">
      <c r="A86" s="20" t="s">
        <v>333</v>
      </c>
      <c r="B86" t="s">
        <v>334</v>
      </c>
      <c r="C86" t="s">
        <v>335</v>
      </c>
      <c r="D86" t="s">
        <v>253</v>
      </c>
      <c r="E86" t="s">
        <v>37</v>
      </c>
      <c r="F86">
        <v>48</v>
      </c>
      <c r="G86" t="s">
        <v>50</v>
      </c>
      <c r="H86" t="s">
        <v>51</v>
      </c>
      <c r="I86" t="s">
        <v>59</v>
      </c>
      <c r="J86" t="s">
        <v>110</v>
      </c>
      <c r="K86">
        <v>5</v>
      </c>
      <c r="L86">
        <v>1263</v>
      </c>
      <c r="M86">
        <v>5</v>
      </c>
      <c r="N86">
        <v>5999.25</v>
      </c>
      <c r="O86" s="22" t="s">
        <v>65</v>
      </c>
    </row>
    <row r="87" spans="1:15">
      <c r="A87" s="20" t="s">
        <v>336</v>
      </c>
      <c r="B87" t="s">
        <v>337</v>
      </c>
      <c r="C87" t="s">
        <v>338</v>
      </c>
      <c r="D87" t="s">
        <v>69</v>
      </c>
      <c r="E87" t="s">
        <v>37</v>
      </c>
      <c r="F87">
        <v>30</v>
      </c>
      <c r="G87" t="s">
        <v>81</v>
      </c>
      <c r="H87" t="s">
        <v>82</v>
      </c>
      <c r="I87" t="s">
        <v>83</v>
      </c>
      <c r="J87" t="s">
        <v>92</v>
      </c>
      <c r="K87">
        <v>3</v>
      </c>
      <c r="L87">
        <v>1616</v>
      </c>
      <c r="M87">
        <v>15</v>
      </c>
      <c r="N87">
        <v>4120.8</v>
      </c>
      <c r="O87" s="22" t="s">
        <v>23</v>
      </c>
    </row>
    <row r="88" spans="1:15">
      <c r="A88" s="20" t="s">
        <v>339</v>
      </c>
      <c r="B88" t="s">
        <v>340</v>
      </c>
      <c r="C88" t="s">
        <v>341</v>
      </c>
      <c r="D88" t="s">
        <v>18</v>
      </c>
      <c r="E88" t="s">
        <v>19</v>
      </c>
      <c r="F88">
        <v>48</v>
      </c>
      <c r="G88" t="s">
        <v>43</v>
      </c>
      <c r="H88" t="s">
        <v>44</v>
      </c>
      <c r="I88" t="s">
        <v>21</v>
      </c>
      <c r="J88" t="s">
        <v>129</v>
      </c>
      <c r="K88">
        <v>1</v>
      </c>
      <c r="L88">
        <v>4221</v>
      </c>
      <c r="M88">
        <v>20</v>
      </c>
      <c r="N88">
        <v>3376.8</v>
      </c>
      <c r="O88" s="22" t="s">
        <v>61</v>
      </c>
    </row>
    <row r="89" spans="1:15">
      <c r="A89" s="20" t="s">
        <v>342</v>
      </c>
      <c r="B89" t="s">
        <v>343</v>
      </c>
      <c r="C89" t="s">
        <v>344</v>
      </c>
      <c r="D89" t="s">
        <v>56</v>
      </c>
      <c r="E89" t="s">
        <v>37</v>
      </c>
      <c r="F89">
        <v>30</v>
      </c>
      <c r="G89" t="s">
        <v>50</v>
      </c>
      <c r="H89" t="s">
        <v>51</v>
      </c>
      <c r="I89" t="s">
        <v>59</v>
      </c>
      <c r="J89" t="s">
        <v>71</v>
      </c>
      <c r="K89">
        <v>2</v>
      </c>
      <c r="L89">
        <v>6410</v>
      </c>
      <c r="M89">
        <v>10</v>
      </c>
      <c r="N89">
        <v>11538</v>
      </c>
      <c r="O89" s="22" t="s">
        <v>23</v>
      </c>
    </row>
    <row r="90" spans="1:15">
      <c r="A90" s="20" t="s">
        <v>345</v>
      </c>
      <c r="B90" t="s">
        <v>346</v>
      </c>
      <c r="C90" t="s">
        <v>347</v>
      </c>
      <c r="D90" t="s">
        <v>163</v>
      </c>
      <c r="E90" t="s">
        <v>19</v>
      </c>
      <c r="F90">
        <v>30</v>
      </c>
      <c r="G90" t="s">
        <v>28</v>
      </c>
      <c r="H90" t="s">
        <v>29</v>
      </c>
      <c r="I90" t="s">
        <v>83</v>
      </c>
      <c r="J90" t="s">
        <v>133</v>
      </c>
      <c r="K90">
        <v>5</v>
      </c>
      <c r="L90">
        <v>1050</v>
      </c>
      <c r="M90">
        <v>20</v>
      </c>
      <c r="N90">
        <v>4200</v>
      </c>
      <c r="O90" s="22" t="s">
        <v>61</v>
      </c>
    </row>
    <row r="91" spans="1:15">
      <c r="A91" s="20" t="s">
        <v>348</v>
      </c>
      <c r="B91" t="s">
        <v>349</v>
      </c>
      <c r="C91" t="s">
        <v>350</v>
      </c>
      <c r="D91" t="s">
        <v>49</v>
      </c>
      <c r="E91" t="s">
        <v>19</v>
      </c>
      <c r="F91">
        <v>41</v>
      </c>
      <c r="G91" t="s">
        <v>28</v>
      </c>
      <c r="H91" t="s">
        <v>29</v>
      </c>
      <c r="I91" t="s">
        <v>59</v>
      </c>
      <c r="J91" t="s">
        <v>60</v>
      </c>
      <c r="K91">
        <v>1</v>
      </c>
      <c r="L91">
        <v>4252</v>
      </c>
      <c r="M91">
        <v>0</v>
      </c>
      <c r="N91">
        <v>4252</v>
      </c>
      <c r="O91" s="22" t="s">
        <v>61</v>
      </c>
    </row>
    <row r="92" spans="1:15">
      <c r="A92" s="20" t="s">
        <v>351</v>
      </c>
      <c r="B92" t="s">
        <v>352</v>
      </c>
      <c r="C92" t="s">
        <v>353</v>
      </c>
      <c r="D92" t="s">
        <v>36</v>
      </c>
      <c r="E92" t="s">
        <v>37</v>
      </c>
      <c r="F92">
        <v>25</v>
      </c>
      <c r="G92" t="s">
        <v>43</v>
      </c>
      <c r="H92" t="s">
        <v>44</v>
      </c>
      <c r="I92" t="s">
        <v>83</v>
      </c>
      <c r="J92" t="s">
        <v>164</v>
      </c>
      <c r="K92">
        <v>4</v>
      </c>
      <c r="L92">
        <v>5937</v>
      </c>
      <c r="M92">
        <v>5</v>
      </c>
      <c r="N92">
        <v>22560.6</v>
      </c>
      <c r="O92" s="22" t="s">
        <v>23</v>
      </c>
    </row>
    <row r="93" spans="1:15">
      <c r="A93" s="20" t="s">
        <v>354</v>
      </c>
      <c r="B93" t="s">
        <v>355</v>
      </c>
      <c r="C93" t="s">
        <v>356</v>
      </c>
      <c r="D93" t="s">
        <v>109</v>
      </c>
      <c r="E93" t="s">
        <v>19</v>
      </c>
      <c r="F93">
        <v>37</v>
      </c>
      <c r="G93" t="s">
        <v>43</v>
      </c>
      <c r="H93" t="s">
        <v>44</v>
      </c>
      <c r="I93" t="s">
        <v>83</v>
      </c>
      <c r="J93" t="s">
        <v>133</v>
      </c>
      <c r="K93">
        <v>5</v>
      </c>
      <c r="L93">
        <v>6990</v>
      </c>
      <c r="M93">
        <v>20</v>
      </c>
      <c r="N93">
        <v>27960</v>
      </c>
      <c r="O93" s="22" t="s">
        <v>32</v>
      </c>
    </row>
    <row r="94" spans="1:15">
      <c r="A94" s="20" t="s">
        <v>357</v>
      </c>
      <c r="B94" t="s">
        <v>358</v>
      </c>
      <c r="C94" t="s">
        <v>359</v>
      </c>
      <c r="D94" t="s">
        <v>159</v>
      </c>
      <c r="E94" t="s">
        <v>19</v>
      </c>
      <c r="F94">
        <v>31</v>
      </c>
      <c r="G94" t="s">
        <v>50</v>
      </c>
      <c r="H94" t="s">
        <v>51</v>
      </c>
      <c r="I94" t="s">
        <v>30</v>
      </c>
      <c r="J94" t="s">
        <v>31</v>
      </c>
      <c r="K94">
        <v>5</v>
      </c>
      <c r="L94">
        <v>5364</v>
      </c>
      <c r="M94">
        <v>10</v>
      </c>
      <c r="N94">
        <v>24138</v>
      </c>
      <c r="O94" s="22" t="s">
        <v>65</v>
      </c>
    </row>
    <row r="95" spans="1:15">
      <c r="A95" s="20" t="s">
        <v>360</v>
      </c>
      <c r="B95" t="s">
        <v>361</v>
      </c>
      <c r="C95" t="s">
        <v>362</v>
      </c>
      <c r="D95" t="s">
        <v>69</v>
      </c>
      <c r="E95" t="s">
        <v>37</v>
      </c>
      <c r="F95">
        <v>25</v>
      </c>
      <c r="G95" t="s">
        <v>57</v>
      </c>
      <c r="H95" t="s">
        <v>58</v>
      </c>
      <c r="I95" t="s">
        <v>59</v>
      </c>
      <c r="J95" t="s">
        <v>71</v>
      </c>
      <c r="K95">
        <v>5</v>
      </c>
      <c r="L95">
        <v>856</v>
      </c>
      <c r="M95">
        <v>10</v>
      </c>
      <c r="N95">
        <v>3852</v>
      </c>
      <c r="O95" s="22" t="s">
        <v>65</v>
      </c>
    </row>
    <row r="96" spans="1:15">
      <c r="A96" s="20" t="s">
        <v>363</v>
      </c>
      <c r="B96" t="s">
        <v>364</v>
      </c>
      <c r="C96" t="s">
        <v>365</v>
      </c>
      <c r="D96" t="s">
        <v>80</v>
      </c>
      <c r="E96" t="s">
        <v>19</v>
      </c>
      <c r="F96">
        <v>37</v>
      </c>
      <c r="G96" t="s">
        <v>38</v>
      </c>
      <c r="H96" t="s">
        <v>39</v>
      </c>
      <c r="I96" t="s">
        <v>83</v>
      </c>
      <c r="J96" t="s">
        <v>164</v>
      </c>
      <c r="K96">
        <v>4</v>
      </c>
      <c r="L96">
        <v>6985</v>
      </c>
      <c r="M96">
        <v>5</v>
      </c>
      <c r="N96">
        <v>26543</v>
      </c>
      <c r="O96" s="22" t="s">
        <v>65</v>
      </c>
    </row>
    <row r="97" spans="1:15">
      <c r="A97" s="20" t="s">
        <v>366</v>
      </c>
      <c r="B97" t="s">
        <v>367</v>
      </c>
      <c r="C97" t="s">
        <v>368</v>
      </c>
      <c r="D97" t="s">
        <v>80</v>
      </c>
      <c r="E97" t="s">
        <v>19</v>
      </c>
      <c r="F97">
        <v>34</v>
      </c>
      <c r="G97" t="s">
        <v>70</v>
      </c>
      <c r="H97" t="s">
        <v>70</v>
      </c>
      <c r="I97" t="s">
        <v>21</v>
      </c>
      <c r="J97" t="s">
        <v>190</v>
      </c>
      <c r="K97">
        <v>5</v>
      </c>
      <c r="L97">
        <v>5635</v>
      </c>
      <c r="M97">
        <v>5</v>
      </c>
      <c r="N97">
        <v>26766.25</v>
      </c>
      <c r="O97" s="22" t="s">
        <v>61</v>
      </c>
    </row>
    <row r="98" spans="1:15">
      <c r="A98" s="20" t="s">
        <v>369</v>
      </c>
      <c r="B98" t="s">
        <v>370</v>
      </c>
      <c r="C98" t="s">
        <v>371</v>
      </c>
      <c r="D98" t="s">
        <v>163</v>
      </c>
      <c r="E98" t="s">
        <v>19</v>
      </c>
      <c r="F98">
        <v>44</v>
      </c>
      <c r="G98" t="s">
        <v>38</v>
      </c>
      <c r="H98" t="s">
        <v>39</v>
      </c>
      <c r="I98" t="s">
        <v>21</v>
      </c>
      <c r="J98" t="s">
        <v>129</v>
      </c>
      <c r="K98">
        <v>5</v>
      </c>
      <c r="L98">
        <v>6672</v>
      </c>
      <c r="M98">
        <v>15</v>
      </c>
      <c r="N98">
        <v>28356</v>
      </c>
      <c r="O98" s="22" t="s">
        <v>65</v>
      </c>
    </row>
    <row r="99" spans="1:15">
      <c r="A99" s="20" t="s">
        <v>372</v>
      </c>
      <c r="B99" t="s">
        <v>373</v>
      </c>
      <c r="C99" t="s">
        <v>374</v>
      </c>
      <c r="D99" t="s">
        <v>91</v>
      </c>
      <c r="E99" t="s">
        <v>37</v>
      </c>
      <c r="F99">
        <v>25</v>
      </c>
      <c r="G99" t="s">
        <v>38</v>
      </c>
      <c r="H99" t="s">
        <v>39</v>
      </c>
      <c r="I99" t="s">
        <v>30</v>
      </c>
      <c r="J99" t="s">
        <v>52</v>
      </c>
      <c r="K99">
        <v>2</v>
      </c>
      <c r="L99">
        <v>4370</v>
      </c>
      <c r="M99">
        <v>20</v>
      </c>
      <c r="N99">
        <v>6992</v>
      </c>
      <c r="O99" s="22" t="s">
        <v>61</v>
      </c>
    </row>
    <row r="100" spans="1:15">
      <c r="A100" s="20" t="s">
        <v>375</v>
      </c>
      <c r="B100" t="s">
        <v>376</v>
      </c>
      <c r="C100" t="s">
        <v>377</v>
      </c>
      <c r="D100" t="s">
        <v>163</v>
      </c>
      <c r="E100" t="s">
        <v>19</v>
      </c>
      <c r="F100">
        <v>35</v>
      </c>
      <c r="G100" t="s">
        <v>57</v>
      </c>
      <c r="H100" t="s">
        <v>58</v>
      </c>
      <c r="I100" t="s">
        <v>30</v>
      </c>
      <c r="J100" t="s">
        <v>96</v>
      </c>
      <c r="K100">
        <v>3</v>
      </c>
      <c r="L100">
        <v>7683</v>
      </c>
      <c r="M100">
        <v>20</v>
      </c>
      <c r="N100">
        <v>18439.2</v>
      </c>
      <c r="O100" s="22" t="s">
        <v>23</v>
      </c>
    </row>
    <row r="101" spans="1:15">
      <c r="A101" s="20" t="s">
        <v>378</v>
      </c>
      <c r="B101" t="s">
        <v>379</v>
      </c>
      <c r="C101" t="s">
        <v>380</v>
      </c>
      <c r="D101" t="s">
        <v>320</v>
      </c>
      <c r="E101" t="s">
        <v>19</v>
      </c>
      <c r="F101">
        <v>45</v>
      </c>
      <c r="G101" t="s">
        <v>70</v>
      </c>
      <c r="H101" t="s">
        <v>70</v>
      </c>
      <c r="I101" t="s">
        <v>30</v>
      </c>
      <c r="J101" t="s">
        <v>96</v>
      </c>
      <c r="K101">
        <v>3</v>
      </c>
      <c r="L101">
        <v>6740</v>
      </c>
      <c r="M101">
        <v>0</v>
      </c>
      <c r="N101">
        <v>20220</v>
      </c>
      <c r="O101" s="22" t="s">
        <v>32</v>
      </c>
    </row>
    <row r="102" spans="1:15">
      <c r="A102" s="20" t="s">
        <v>381</v>
      </c>
      <c r="B102" t="s">
        <v>382</v>
      </c>
      <c r="C102" t="s">
        <v>383</v>
      </c>
      <c r="D102" t="s">
        <v>75</v>
      </c>
      <c r="E102" t="s">
        <v>19</v>
      </c>
      <c r="F102">
        <v>34</v>
      </c>
      <c r="G102" t="s">
        <v>140</v>
      </c>
      <c r="H102" t="s">
        <v>141</v>
      </c>
      <c r="I102" t="s">
        <v>30</v>
      </c>
      <c r="J102" t="s">
        <v>45</v>
      </c>
      <c r="K102">
        <v>5</v>
      </c>
      <c r="L102">
        <v>6410</v>
      </c>
      <c r="M102">
        <v>10</v>
      </c>
      <c r="N102">
        <v>28845</v>
      </c>
      <c r="O102" s="22" t="s">
        <v>32</v>
      </c>
    </row>
    <row r="103" spans="1:15">
      <c r="A103" s="20" t="s">
        <v>384</v>
      </c>
      <c r="B103" t="s">
        <v>385</v>
      </c>
      <c r="C103" t="s">
        <v>386</v>
      </c>
      <c r="D103" t="s">
        <v>204</v>
      </c>
      <c r="E103" t="s">
        <v>37</v>
      </c>
      <c r="F103">
        <v>48</v>
      </c>
      <c r="G103" t="s">
        <v>43</v>
      </c>
      <c r="H103" t="s">
        <v>44</v>
      </c>
      <c r="I103" t="s">
        <v>83</v>
      </c>
      <c r="J103" t="s">
        <v>133</v>
      </c>
      <c r="K103">
        <v>1</v>
      </c>
      <c r="L103">
        <v>7273</v>
      </c>
      <c r="M103">
        <v>10</v>
      </c>
      <c r="N103">
        <v>6545.7</v>
      </c>
      <c r="O103" s="22" t="s">
        <v>65</v>
      </c>
    </row>
    <row r="104" spans="1:15">
      <c r="A104" s="20" t="s">
        <v>387</v>
      </c>
      <c r="B104" t="s">
        <v>388</v>
      </c>
      <c r="C104" t="s">
        <v>389</v>
      </c>
      <c r="D104" t="s">
        <v>69</v>
      </c>
      <c r="E104" t="s">
        <v>37</v>
      </c>
      <c r="F104">
        <v>45</v>
      </c>
      <c r="G104" t="s">
        <v>140</v>
      </c>
      <c r="H104" t="s">
        <v>141</v>
      </c>
      <c r="I104" t="s">
        <v>30</v>
      </c>
      <c r="J104" t="s">
        <v>45</v>
      </c>
      <c r="K104">
        <v>1</v>
      </c>
      <c r="L104">
        <v>5865</v>
      </c>
      <c r="M104">
        <v>0</v>
      </c>
      <c r="N104">
        <v>5865</v>
      </c>
      <c r="O104" s="22" t="s">
        <v>65</v>
      </c>
    </row>
    <row r="105" spans="1:15">
      <c r="A105" s="20" t="s">
        <v>390</v>
      </c>
      <c r="B105" t="s">
        <v>391</v>
      </c>
      <c r="C105" t="s">
        <v>392</v>
      </c>
      <c r="D105" t="s">
        <v>204</v>
      </c>
      <c r="E105" t="s">
        <v>37</v>
      </c>
      <c r="F105">
        <v>34</v>
      </c>
      <c r="G105" t="s">
        <v>43</v>
      </c>
      <c r="H105" t="s">
        <v>44</v>
      </c>
      <c r="I105" t="s">
        <v>83</v>
      </c>
      <c r="J105" t="s">
        <v>92</v>
      </c>
      <c r="K105">
        <v>2</v>
      </c>
      <c r="L105">
        <v>1709</v>
      </c>
      <c r="M105">
        <v>5</v>
      </c>
      <c r="N105">
        <v>3247.1</v>
      </c>
      <c r="O105" s="22" t="s">
        <v>23</v>
      </c>
    </row>
    <row r="106" spans="1:15">
      <c r="A106" s="20" t="s">
        <v>393</v>
      </c>
      <c r="B106" t="s">
        <v>394</v>
      </c>
      <c r="C106" t="s">
        <v>395</v>
      </c>
      <c r="D106" t="s">
        <v>253</v>
      </c>
      <c r="E106" t="s">
        <v>37</v>
      </c>
      <c r="F106">
        <v>46</v>
      </c>
      <c r="G106" t="s">
        <v>70</v>
      </c>
      <c r="H106" t="s">
        <v>70</v>
      </c>
      <c r="I106" t="s">
        <v>83</v>
      </c>
      <c r="J106" t="s">
        <v>164</v>
      </c>
      <c r="K106">
        <v>5</v>
      </c>
      <c r="L106">
        <v>1198</v>
      </c>
      <c r="M106">
        <v>5</v>
      </c>
      <c r="N106">
        <v>5690.5</v>
      </c>
      <c r="O106" s="22" t="s">
        <v>23</v>
      </c>
    </row>
    <row r="107" spans="1:15">
      <c r="A107" s="20" t="s">
        <v>396</v>
      </c>
      <c r="B107" t="s">
        <v>397</v>
      </c>
      <c r="C107" t="s">
        <v>398</v>
      </c>
      <c r="D107" t="s">
        <v>145</v>
      </c>
      <c r="E107" t="s">
        <v>19</v>
      </c>
      <c r="F107">
        <v>40</v>
      </c>
      <c r="G107" t="s">
        <v>28</v>
      </c>
      <c r="H107" t="s">
        <v>29</v>
      </c>
      <c r="I107" t="s">
        <v>59</v>
      </c>
      <c r="J107" t="s">
        <v>60</v>
      </c>
      <c r="K107">
        <v>1</v>
      </c>
      <c r="L107">
        <v>517</v>
      </c>
      <c r="M107">
        <v>10</v>
      </c>
      <c r="N107">
        <v>465.3</v>
      </c>
      <c r="O107" s="22" t="s">
        <v>65</v>
      </c>
    </row>
    <row r="108" spans="1:15">
      <c r="A108" s="20" t="s">
        <v>399</v>
      </c>
      <c r="B108" t="s">
        <v>400</v>
      </c>
      <c r="C108" t="s">
        <v>401</v>
      </c>
      <c r="D108" t="s">
        <v>69</v>
      </c>
      <c r="E108" t="s">
        <v>37</v>
      </c>
      <c r="F108">
        <v>35</v>
      </c>
      <c r="G108" t="s">
        <v>28</v>
      </c>
      <c r="H108" t="s">
        <v>29</v>
      </c>
      <c r="I108" t="s">
        <v>59</v>
      </c>
      <c r="J108" t="s">
        <v>171</v>
      </c>
      <c r="K108">
        <v>2</v>
      </c>
      <c r="L108">
        <v>7619</v>
      </c>
      <c r="M108">
        <v>15</v>
      </c>
      <c r="N108">
        <v>12952.3</v>
      </c>
      <c r="O108" s="22" t="s">
        <v>32</v>
      </c>
    </row>
    <row r="109" spans="1:15">
      <c r="A109" s="20" t="s">
        <v>402</v>
      </c>
      <c r="B109" t="s">
        <v>403</v>
      </c>
      <c r="C109" t="s">
        <v>404</v>
      </c>
      <c r="D109" t="s">
        <v>36</v>
      </c>
      <c r="E109" t="s">
        <v>37</v>
      </c>
      <c r="F109">
        <v>44</v>
      </c>
      <c r="G109" t="s">
        <v>20</v>
      </c>
      <c r="H109" t="s">
        <v>20</v>
      </c>
      <c r="I109" t="s">
        <v>59</v>
      </c>
      <c r="J109" t="s">
        <v>171</v>
      </c>
      <c r="K109">
        <v>2</v>
      </c>
      <c r="L109">
        <v>893</v>
      </c>
      <c r="M109">
        <v>20</v>
      </c>
      <c r="N109">
        <v>1428.8</v>
      </c>
      <c r="O109" s="22" t="s">
        <v>23</v>
      </c>
    </row>
    <row r="110" spans="1:15">
      <c r="A110" s="20" t="s">
        <v>405</v>
      </c>
      <c r="B110" t="s">
        <v>406</v>
      </c>
      <c r="C110" t="s">
        <v>407</v>
      </c>
      <c r="D110" t="s">
        <v>320</v>
      </c>
      <c r="E110" t="s">
        <v>19</v>
      </c>
      <c r="F110">
        <v>46</v>
      </c>
      <c r="G110" t="s">
        <v>140</v>
      </c>
      <c r="H110" t="s">
        <v>141</v>
      </c>
      <c r="I110" t="s">
        <v>59</v>
      </c>
      <c r="J110" t="s">
        <v>110</v>
      </c>
      <c r="K110">
        <v>3</v>
      </c>
      <c r="L110">
        <v>5308</v>
      </c>
      <c r="M110">
        <v>0</v>
      </c>
      <c r="N110">
        <v>15924</v>
      </c>
      <c r="O110" s="22" t="s">
        <v>23</v>
      </c>
    </row>
    <row r="111" spans="1:15">
      <c r="A111" s="20" t="s">
        <v>408</v>
      </c>
      <c r="B111" t="s">
        <v>409</v>
      </c>
      <c r="C111" t="s">
        <v>410</v>
      </c>
      <c r="D111" t="s">
        <v>320</v>
      </c>
      <c r="E111" t="s">
        <v>19</v>
      </c>
      <c r="F111">
        <v>26</v>
      </c>
      <c r="G111" t="s">
        <v>70</v>
      </c>
      <c r="H111" t="s">
        <v>70</v>
      </c>
      <c r="I111" t="s">
        <v>59</v>
      </c>
      <c r="J111" t="s">
        <v>60</v>
      </c>
      <c r="K111">
        <v>1</v>
      </c>
      <c r="L111">
        <v>6308</v>
      </c>
      <c r="M111">
        <v>5</v>
      </c>
      <c r="N111">
        <v>5992.6</v>
      </c>
      <c r="O111" s="22" t="s">
        <v>61</v>
      </c>
    </row>
    <row r="112" spans="1:15">
      <c r="A112" s="20" t="s">
        <v>411</v>
      </c>
      <c r="B112" t="s">
        <v>412</v>
      </c>
      <c r="C112" t="s">
        <v>413</v>
      </c>
      <c r="D112" t="s">
        <v>18</v>
      </c>
      <c r="E112" t="s">
        <v>19</v>
      </c>
      <c r="F112">
        <v>44</v>
      </c>
      <c r="G112" t="s">
        <v>20</v>
      </c>
      <c r="H112" t="s">
        <v>20</v>
      </c>
      <c r="I112" t="s">
        <v>83</v>
      </c>
      <c r="J112" t="s">
        <v>164</v>
      </c>
      <c r="K112">
        <v>3</v>
      </c>
      <c r="L112">
        <v>2007</v>
      </c>
      <c r="M112">
        <v>5</v>
      </c>
      <c r="N112">
        <v>5719.95</v>
      </c>
      <c r="O112" s="22" t="s">
        <v>23</v>
      </c>
    </row>
    <row r="113" spans="1:15">
      <c r="A113" s="20" t="s">
        <v>414</v>
      </c>
      <c r="B113" t="s">
        <v>415</v>
      </c>
      <c r="C113" t="s">
        <v>416</v>
      </c>
      <c r="D113" t="s">
        <v>91</v>
      </c>
      <c r="E113" t="s">
        <v>37</v>
      </c>
      <c r="F113">
        <v>34</v>
      </c>
      <c r="G113" t="s">
        <v>70</v>
      </c>
      <c r="H113" t="s">
        <v>70</v>
      </c>
      <c r="I113" t="s">
        <v>30</v>
      </c>
      <c r="J113" t="s">
        <v>96</v>
      </c>
      <c r="K113">
        <v>3</v>
      </c>
      <c r="L113">
        <v>1031</v>
      </c>
      <c r="M113">
        <v>10</v>
      </c>
      <c r="N113">
        <v>2783.7</v>
      </c>
      <c r="O113" s="22" t="s">
        <v>32</v>
      </c>
    </row>
    <row r="114" spans="1:15">
      <c r="A114" s="20" t="s">
        <v>417</v>
      </c>
      <c r="B114" t="s">
        <v>418</v>
      </c>
      <c r="C114" t="s">
        <v>419</v>
      </c>
      <c r="D114" t="s">
        <v>27</v>
      </c>
      <c r="E114" t="s">
        <v>19</v>
      </c>
      <c r="F114">
        <v>38</v>
      </c>
      <c r="G114" t="s">
        <v>81</v>
      </c>
      <c r="H114" t="s">
        <v>82</v>
      </c>
      <c r="I114" t="s">
        <v>59</v>
      </c>
      <c r="J114" t="s">
        <v>110</v>
      </c>
      <c r="K114">
        <v>3</v>
      </c>
      <c r="L114">
        <v>2847</v>
      </c>
      <c r="M114">
        <v>20</v>
      </c>
      <c r="N114">
        <v>6832.8</v>
      </c>
      <c r="O114" s="22" t="s">
        <v>23</v>
      </c>
    </row>
    <row r="115" spans="1:15">
      <c r="A115" s="20" t="s">
        <v>420</v>
      </c>
      <c r="B115" t="s">
        <v>421</v>
      </c>
      <c r="C115" t="s">
        <v>422</v>
      </c>
      <c r="D115" t="s">
        <v>149</v>
      </c>
      <c r="E115" t="s">
        <v>37</v>
      </c>
      <c r="F115">
        <v>32</v>
      </c>
      <c r="G115" t="s">
        <v>140</v>
      </c>
      <c r="H115" t="s">
        <v>141</v>
      </c>
      <c r="I115" t="s">
        <v>21</v>
      </c>
      <c r="J115" t="s">
        <v>197</v>
      </c>
      <c r="K115">
        <v>4</v>
      </c>
      <c r="L115">
        <v>2600</v>
      </c>
      <c r="M115">
        <v>0</v>
      </c>
      <c r="N115">
        <v>10400</v>
      </c>
      <c r="O115" s="22" t="s">
        <v>23</v>
      </c>
    </row>
    <row r="116" spans="1:15">
      <c r="A116" s="20" t="s">
        <v>423</v>
      </c>
      <c r="B116" t="s">
        <v>424</v>
      </c>
      <c r="C116" t="s">
        <v>425</v>
      </c>
      <c r="D116" t="s">
        <v>56</v>
      </c>
      <c r="E116" t="s">
        <v>37</v>
      </c>
      <c r="F116">
        <v>26</v>
      </c>
      <c r="G116" t="s">
        <v>100</v>
      </c>
      <c r="H116" t="s">
        <v>101</v>
      </c>
      <c r="I116" t="s">
        <v>59</v>
      </c>
      <c r="J116" t="s">
        <v>71</v>
      </c>
      <c r="K116">
        <v>5</v>
      </c>
      <c r="L116">
        <v>3685</v>
      </c>
      <c r="M116">
        <v>20</v>
      </c>
      <c r="N116">
        <v>14740</v>
      </c>
      <c r="O116" s="22" t="s">
        <v>65</v>
      </c>
    </row>
    <row r="117" spans="1:15">
      <c r="A117" s="20" t="s">
        <v>426</v>
      </c>
      <c r="B117" t="s">
        <v>427</v>
      </c>
      <c r="C117" t="s">
        <v>428</v>
      </c>
      <c r="D117" t="s">
        <v>18</v>
      </c>
      <c r="E117" t="s">
        <v>19</v>
      </c>
      <c r="F117">
        <v>32</v>
      </c>
      <c r="G117" t="s">
        <v>140</v>
      </c>
      <c r="H117" t="s">
        <v>141</v>
      </c>
      <c r="I117" t="s">
        <v>83</v>
      </c>
      <c r="J117" t="s">
        <v>133</v>
      </c>
      <c r="K117">
        <v>2</v>
      </c>
      <c r="L117">
        <v>4117</v>
      </c>
      <c r="M117">
        <v>0</v>
      </c>
      <c r="N117">
        <v>8234</v>
      </c>
      <c r="O117" s="22" t="s">
        <v>23</v>
      </c>
    </row>
    <row r="118" spans="1:15">
      <c r="A118" s="20" t="s">
        <v>429</v>
      </c>
      <c r="B118" t="s">
        <v>430</v>
      </c>
      <c r="C118" t="s">
        <v>431</v>
      </c>
      <c r="D118" t="s">
        <v>320</v>
      </c>
      <c r="E118" t="s">
        <v>19</v>
      </c>
      <c r="F118">
        <v>29</v>
      </c>
      <c r="G118" t="s">
        <v>43</v>
      </c>
      <c r="H118" t="s">
        <v>44</v>
      </c>
      <c r="I118" t="s">
        <v>30</v>
      </c>
      <c r="J118" t="s">
        <v>96</v>
      </c>
      <c r="K118">
        <v>3</v>
      </c>
      <c r="L118">
        <v>1460</v>
      </c>
      <c r="M118">
        <v>20</v>
      </c>
      <c r="N118">
        <v>3504</v>
      </c>
      <c r="O118" s="22" t="s">
        <v>23</v>
      </c>
    </row>
    <row r="119" spans="1:15">
      <c r="A119" s="20" t="s">
        <v>432</v>
      </c>
      <c r="B119" t="s">
        <v>433</v>
      </c>
      <c r="C119" t="s">
        <v>434</v>
      </c>
      <c r="D119" t="s">
        <v>204</v>
      </c>
      <c r="E119" t="s">
        <v>37</v>
      </c>
      <c r="F119">
        <v>44</v>
      </c>
      <c r="G119" t="s">
        <v>57</v>
      </c>
      <c r="H119" t="s">
        <v>58</v>
      </c>
      <c r="I119" t="s">
        <v>83</v>
      </c>
      <c r="J119" t="s">
        <v>133</v>
      </c>
      <c r="K119">
        <v>3</v>
      </c>
      <c r="L119">
        <v>7363</v>
      </c>
      <c r="M119">
        <v>5</v>
      </c>
      <c r="N119">
        <v>20984.55</v>
      </c>
      <c r="O119" s="22" t="s">
        <v>23</v>
      </c>
    </row>
    <row r="120" spans="1:15">
      <c r="A120" s="20" t="s">
        <v>435</v>
      </c>
      <c r="B120" t="s">
        <v>436</v>
      </c>
      <c r="C120" t="s">
        <v>437</v>
      </c>
      <c r="D120" t="s">
        <v>36</v>
      </c>
      <c r="E120" t="s">
        <v>37</v>
      </c>
      <c r="F120">
        <v>49</v>
      </c>
      <c r="G120" t="s">
        <v>100</v>
      </c>
      <c r="H120" t="s">
        <v>101</v>
      </c>
      <c r="I120" t="s">
        <v>21</v>
      </c>
      <c r="J120" t="s">
        <v>197</v>
      </c>
      <c r="K120">
        <v>1</v>
      </c>
      <c r="L120">
        <v>1068</v>
      </c>
      <c r="M120">
        <v>20</v>
      </c>
      <c r="N120">
        <v>854.4</v>
      </c>
      <c r="O120" s="22" t="s">
        <v>32</v>
      </c>
    </row>
    <row r="121" spans="1:15">
      <c r="A121" s="20" t="s">
        <v>438</v>
      </c>
      <c r="B121" t="s">
        <v>439</v>
      </c>
      <c r="C121" t="s">
        <v>440</v>
      </c>
      <c r="D121" t="s">
        <v>105</v>
      </c>
      <c r="E121" t="s">
        <v>37</v>
      </c>
      <c r="F121">
        <v>29</v>
      </c>
      <c r="G121" t="s">
        <v>38</v>
      </c>
      <c r="H121" t="s">
        <v>39</v>
      </c>
      <c r="I121" t="s">
        <v>59</v>
      </c>
      <c r="J121" t="s">
        <v>71</v>
      </c>
      <c r="K121">
        <v>5</v>
      </c>
      <c r="L121">
        <v>6057</v>
      </c>
      <c r="M121">
        <v>15</v>
      </c>
      <c r="N121">
        <v>25742.25</v>
      </c>
      <c r="O121" s="22" t="s">
        <v>32</v>
      </c>
    </row>
    <row r="122" spans="1:15">
      <c r="A122" s="20" t="s">
        <v>441</v>
      </c>
      <c r="B122" t="s">
        <v>442</v>
      </c>
      <c r="C122" t="s">
        <v>443</v>
      </c>
      <c r="D122" t="s">
        <v>75</v>
      </c>
      <c r="E122" t="s">
        <v>19</v>
      </c>
      <c r="F122">
        <v>44</v>
      </c>
      <c r="G122" t="s">
        <v>100</v>
      </c>
      <c r="H122" t="s">
        <v>101</v>
      </c>
      <c r="I122" t="s">
        <v>59</v>
      </c>
      <c r="J122" t="s">
        <v>71</v>
      </c>
      <c r="K122">
        <v>2</v>
      </c>
      <c r="L122">
        <v>4397</v>
      </c>
      <c r="M122">
        <v>10</v>
      </c>
      <c r="N122">
        <v>7914.6</v>
      </c>
      <c r="O122" s="22" t="s">
        <v>23</v>
      </c>
    </row>
    <row r="123" spans="1:15">
      <c r="A123" s="20" t="s">
        <v>444</v>
      </c>
      <c r="B123" t="s">
        <v>445</v>
      </c>
      <c r="C123" t="s">
        <v>446</v>
      </c>
      <c r="D123" t="s">
        <v>114</v>
      </c>
      <c r="E123" t="s">
        <v>37</v>
      </c>
      <c r="F123">
        <v>50</v>
      </c>
      <c r="G123" t="s">
        <v>100</v>
      </c>
      <c r="H123" t="s">
        <v>101</v>
      </c>
      <c r="I123" t="s">
        <v>83</v>
      </c>
      <c r="J123" t="s">
        <v>84</v>
      </c>
      <c r="K123">
        <v>3</v>
      </c>
      <c r="L123">
        <v>3804</v>
      </c>
      <c r="M123">
        <v>20</v>
      </c>
      <c r="N123">
        <v>9129.6</v>
      </c>
      <c r="O123" s="22" t="s">
        <v>23</v>
      </c>
    </row>
    <row r="124" spans="1:15">
      <c r="A124" s="20" t="s">
        <v>447</v>
      </c>
      <c r="B124" t="s">
        <v>448</v>
      </c>
      <c r="C124" t="s">
        <v>449</v>
      </c>
      <c r="D124" t="s">
        <v>56</v>
      </c>
      <c r="E124" t="s">
        <v>37</v>
      </c>
      <c r="F124">
        <v>45</v>
      </c>
      <c r="G124" t="s">
        <v>57</v>
      </c>
      <c r="H124" t="s">
        <v>58</v>
      </c>
      <c r="I124" t="s">
        <v>59</v>
      </c>
      <c r="J124" t="s">
        <v>171</v>
      </c>
      <c r="K124">
        <v>4</v>
      </c>
      <c r="L124">
        <v>4449</v>
      </c>
      <c r="M124">
        <v>15</v>
      </c>
      <c r="N124">
        <v>15126.6</v>
      </c>
      <c r="O124" s="22" t="s">
        <v>65</v>
      </c>
    </row>
    <row r="125" spans="1:15">
      <c r="A125" s="20" t="s">
        <v>450</v>
      </c>
      <c r="B125" t="s">
        <v>451</v>
      </c>
      <c r="C125" t="s">
        <v>452</v>
      </c>
      <c r="D125" t="s">
        <v>91</v>
      </c>
      <c r="E125" t="s">
        <v>37</v>
      </c>
      <c r="F125">
        <v>20</v>
      </c>
      <c r="G125" t="s">
        <v>100</v>
      </c>
      <c r="H125" t="s">
        <v>101</v>
      </c>
      <c r="I125" t="s">
        <v>21</v>
      </c>
      <c r="J125" t="s">
        <v>22</v>
      </c>
      <c r="K125">
        <v>2</v>
      </c>
      <c r="L125">
        <v>4231</v>
      </c>
      <c r="M125">
        <v>5</v>
      </c>
      <c r="N125">
        <v>8038.9</v>
      </c>
      <c r="O125" s="22" t="s">
        <v>61</v>
      </c>
    </row>
    <row r="126" spans="1:15">
      <c r="A126" s="20" t="s">
        <v>453</v>
      </c>
      <c r="B126" t="s">
        <v>454</v>
      </c>
      <c r="C126" t="s">
        <v>455</v>
      </c>
      <c r="D126" t="s">
        <v>114</v>
      </c>
      <c r="E126" t="s">
        <v>37</v>
      </c>
      <c r="F126">
        <v>45</v>
      </c>
      <c r="G126" t="s">
        <v>100</v>
      </c>
      <c r="H126" t="s">
        <v>101</v>
      </c>
      <c r="I126" t="s">
        <v>59</v>
      </c>
      <c r="J126" t="s">
        <v>71</v>
      </c>
      <c r="K126">
        <v>2</v>
      </c>
      <c r="L126">
        <v>3254</v>
      </c>
      <c r="M126">
        <v>5</v>
      </c>
      <c r="N126">
        <v>6182.6</v>
      </c>
      <c r="O126" s="22" t="s">
        <v>23</v>
      </c>
    </row>
    <row r="127" spans="1:15">
      <c r="A127" s="20" t="s">
        <v>456</v>
      </c>
      <c r="B127" t="s">
        <v>457</v>
      </c>
      <c r="C127" t="s">
        <v>458</v>
      </c>
      <c r="D127" t="s">
        <v>159</v>
      </c>
      <c r="E127" t="s">
        <v>19</v>
      </c>
      <c r="F127">
        <v>38</v>
      </c>
      <c r="G127" t="s">
        <v>50</v>
      </c>
      <c r="H127" t="s">
        <v>51</v>
      </c>
      <c r="I127" t="s">
        <v>21</v>
      </c>
      <c r="J127" t="s">
        <v>197</v>
      </c>
      <c r="K127">
        <v>3</v>
      </c>
      <c r="L127">
        <v>6295</v>
      </c>
      <c r="M127">
        <v>5</v>
      </c>
      <c r="N127">
        <v>17940.75</v>
      </c>
      <c r="O127" s="22" t="s">
        <v>23</v>
      </c>
    </row>
    <row r="128" spans="1:15">
      <c r="A128" s="20" t="s">
        <v>459</v>
      </c>
      <c r="B128" t="s">
        <v>460</v>
      </c>
      <c r="C128" t="s">
        <v>461</v>
      </c>
      <c r="D128" t="s">
        <v>109</v>
      </c>
      <c r="E128" t="s">
        <v>19</v>
      </c>
      <c r="F128">
        <v>41</v>
      </c>
      <c r="G128" t="s">
        <v>70</v>
      </c>
      <c r="H128" t="s">
        <v>70</v>
      </c>
      <c r="I128" t="s">
        <v>21</v>
      </c>
      <c r="J128" t="s">
        <v>129</v>
      </c>
      <c r="K128">
        <v>4</v>
      </c>
      <c r="L128">
        <v>1256</v>
      </c>
      <c r="M128">
        <v>10</v>
      </c>
      <c r="N128">
        <v>4521.6</v>
      </c>
      <c r="O128" s="22" t="s">
        <v>23</v>
      </c>
    </row>
    <row r="129" spans="1:15">
      <c r="A129" s="20" t="s">
        <v>462</v>
      </c>
      <c r="B129" t="s">
        <v>463</v>
      </c>
      <c r="C129" t="s">
        <v>464</v>
      </c>
      <c r="D129" t="s">
        <v>253</v>
      </c>
      <c r="E129" t="s">
        <v>37</v>
      </c>
      <c r="F129">
        <v>48</v>
      </c>
      <c r="G129" t="s">
        <v>70</v>
      </c>
      <c r="H129" t="s">
        <v>70</v>
      </c>
      <c r="I129" t="s">
        <v>21</v>
      </c>
      <c r="J129" t="s">
        <v>129</v>
      </c>
      <c r="K129">
        <v>1</v>
      </c>
      <c r="L129">
        <v>6514</v>
      </c>
      <c r="M129">
        <v>5</v>
      </c>
      <c r="N129">
        <v>6188.3</v>
      </c>
      <c r="O129" s="22" t="s">
        <v>23</v>
      </c>
    </row>
    <row r="130" spans="1:15">
      <c r="A130" s="20" t="s">
        <v>465</v>
      </c>
      <c r="B130" t="s">
        <v>466</v>
      </c>
      <c r="C130" t="s">
        <v>467</v>
      </c>
      <c r="D130" t="s">
        <v>204</v>
      </c>
      <c r="E130" t="s">
        <v>37</v>
      </c>
      <c r="F130">
        <v>27</v>
      </c>
      <c r="G130" t="s">
        <v>81</v>
      </c>
      <c r="H130" t="s">
        <v>82</v>
      </c>
      <c r="I130" t="s">
        <v>21</v>
      </c>
      <c r="J130" t="s">
        <v>190</v>
      </c>
      <c r="K130">
        <v>3</v>
      </c>
      <c r="L130">
        <v>6931</v>
      </c>
      <c r="M130">
        <v>0</v>
      </c>
      <c r="N130">
        <v>20793</v>
      </c>
      <c r="O130" s="22" t="s">
        <v>32</v>
      </c>
    </row>
    <row r="131" spans="1:15">
      <c r="A131" s="20" t="s">
        <v>468</v>
      </c>
      <c r="B131" t="s">
        <v>469</v>
      </c>
      <c r="C131" t="s">
        <v>470</v>
      </c>
      <c r="D131" t="s">
        <v>69</v>
      </c>
      <c r="E131" t="s">
        <v>37</v>
      </c>
      <c r="F131">
        <v>42</v>
      </c>
      <c r="G131" t="s">
        <v>20</v>
      </c>
      <c r="H131" t="s">
        <v>20</v>
      </c>
      <c r="I131" t="s">
        <v>83</v>
      </c>
      <c r="J131" t="s">
        <v>164</v>
      </c>
      <c r="K131">
        <v>3</v>
      </c>
      <c r="L131">
        <v>2431</v>
      </c>
      <c r="M131">
        <v>5</v>
      </c>
      <c r="N131">
        <v>6928.35</v>
      </c>
      <c r="O131" s="22" t="s">
        <v>61</v>
      </c>
    </row>
    <row r="132" spans="1:15">
      <c r="A132" s="20" t="s">
        <v>471</v>
      </c>
      <c r="B132" t="s">
        <v>472</v>
      </c>
      <c r="C132" t="s">
        <v>473</v>
      </c>
      <c r="D132" t="s">
        <v>320</v>
      </c>
      <c r="E132" t="s">
        <v>19</v>
      </c>
      <c r="F132">
        <v>49</v>
      </c>
      <c r="G132" t="s">
        <v>140</v>
      </c>
      <c r="H132" t="s">
        <v>141</v>
      </c>
      <c r="I132" t="s">
        <v>21</v>
      </c>
      <c r="J132" t="s">
        <v>190</v>
      </c>
      <c r="K132">
        <v>5</v>
      </c>
      <c r="L132">
        <v>3171</v>
      </c>
      <c r="M132">
        <v>0</v>
      </c>
      <c r="N132">
        <v>15855</v>
      </c>
      <c r="O132" s="22" t="s">
        <v>65</v>
      </c>
    </row>
    <row r="133" spans="1:15">
      <c r="A133" s="20" t="s">
        <v>474</v>
      </c>
      <c r="B133" t="s">
        <v>475</v>
      </c>
      <c r="C133" t="s">
        <v>476</v>
      </c>
      <c r="D133" t="s">
        <v>204</v>
      </c>
      <c r="E133" t="s">
        <v>37</v>
      </c>
      <c r="F133">
        <v>50</v>
      </c>
      <c r="G133" t="s">
        <v>70</v>
      </c>
      <c r="H133" t="s">
        <v>70</v>
      </c>
      <c r="I133" t="s">
        <v>83</v>
      </c>
      <c r="J133" t="s">
        <v>133</v>
      </c>
      <c r="K133">
        <v>3</v>
      </c>
      <c r="L133">
        <v>4718</v>
      </c>
      <c r="M133">
        <v>20</v>
      </c>
      <c r="N133">
        <v>11323.2</v>
      </c>
      <c r="O133" s="22" t="s">
        <v>32</v>
      </c>
    </row>
    <row r="134" spans="1:15">
      <c r="A134" s="20" t="s">
        <v>477</v>
      </c>
      <c r="B134" t="s">
        <v>478</v>
      </c>
      <c r="C134" t="s">
        <v>479</v>
      </c>
      <c r="D134" t="s">
        <v>114</v>
      </c>
      <c r="E134" t="s">
        <v>37</v>
      </c>
      <c r="F134">
        <v>42</v>
      </c>
      <c r="G134" t="s">
        <v>28</v>
      </c>
      <c r="H134" t="s">
        <v>29</v>
      </c>
      <c r="I134" t="s">
        <v>21</v>
      </c>
      <c r="J134" t="s">
        <v>190</v>
      </c>
      <c r="K134">
        <v>5</v>
      </c>
      <c r="L134">
        <v>1436</v>
      </c>
      <c r="M134">
        <v>5</v>
      </c>
      <c r="N134">
        <v>6821</v>
      </c>
      <c r="O134" s="22" t="s">
        <v>23</v>
      </c>
    </row>
    <row r="135" spans="1:15">
      <c r="A135" s="20" t="s">
        <v>480</v>
      </c>
      <c r="B135" t="s">
        <v>481</v>
      </c>
      <c r="C135" t="s">
        <v>482</v>
      </c>
      <c r="D135" t="s">
        <v>18</v>
      </c>
      <c r="E135" t="s">
        <v>19</v>
      </c>
      <c r="F135">
        <v>40</v>
      </c>
      <c r="G135" t="s">
        <v>50</v>
      </c>
      <c r="H135" t="s">
        <v>51</v>
      </c>
      <c r="I135" t="s">
        <v>21</v>
      </c>
      <c r="J135" t="s">
        <v>22</v>
      </c>
      <c r="K135">
        <v>2</v>
      </c>
      <c r="L135">
        <v>7516</v>
      </c>
      <c r="M135">
        <v>15</v>
      </c>
      <c r="N135">
        <v>12777.2</v>
      </c>
      <c r="O135" s="22" t="s">
        <v>23</v>
      </c>
    </row>
    <row r="136" spans="1:15">
      <c r="A136" s="20" t="s">
        <v>483</v>
      </c>
      <c r="B136" t="s">
        <v>484</v>
      </c>
      <c r="C136" t="s">
        <v>485</v>
      </c>
      <c r="D136" t="s">
        <v>159</v>
      </c>
      <c r="E136" t="s">
        <v>19</v>
      </c>
      <c r="F136">
        <v>36</v>
      </c>
      <c r="G136" t="s">
        <v>20</v>
      </c>
      <c r="H136" t="s">
        <v>20</v>
      </c>
      <c r="I136" t="s">
        <v>83</v>
      </c>
      <c r="J136" t="s">
        <v>84</v>
      </c>
      <c r="K136">
        <v>4</v>
      </c>
      <c r="L136">
        <v>5324</v>
      </c>
      <c r="M136">
        <v>10</v>
      </c>
      <c r="N136">
        <v>19166.4</v>
      </c>
      <c r="O136" s="22" t="s">
        <v>61</v>
      </c>
    </row>
    <row r="137" spans="1:15">
      <c r="A137" s="20" t="s">
        <v>486</v>
      </c>
      <c r="B137" t="s">
        <v>487</v>
      </c>
      <c r="C137" t="s">
        <v>488</v>
      </c>
      <c r="D137" t="s">
        <v>163</v>
      </c>
      <c r="E137" t="s">
        <v>19</v>
      </c>
      <c r="F137">
        <v>23</v>
      </c>
      <c r="G137" t="s">
        <v>57</v>
      </c>
      <c r="H137" t="s">
        <v>58</v>
      </c>
      <c r="I137" t="s">
        <v>59</v>
      </c>
      <c r="J137" t="s">
        <v>171</v>
      </c>
      <c r="K137">
        <v>1</v>
      </c>
      <c r="L137">
        <v>4739</v>
      </c>
      <c r="M137">
        <v>10</v>
      </c>
      <c r="N137">
        <v>4265.1</v>
      </c>
      <c r="O137" s="22" t="s">
        <v>65</v>
      </c>
    </row>
    <row r="138" spans="1:15">
      <c r="A138" s="20" t="s">
        <v>489</v>
      </c>
      <c r="B138" t="s">
        <v>490</v>
      </c>
      <c r="C138" t="s">
        <v>491</v>
      </c>
      <c r="D138" t="s">
        <v>80</v>
      </c>
      <c r="E138" t="s">
        <v>19</v>
      </c>
      <c r="F138">
        <v>32</v>
      </c>
      <c r="G138" t="s">
        <v>140</v>
      </c>
      <c r="H138" t="s">
        <v>141</v>
      </c>
      <c r="I138" t="s">
        <v>83</v>
      </c>
      <c r="J138" t="s">
        <v>118</v>
      </c>
      <c r="K138">
        <v>1</v>
      </c>
      <c r="L138">
        <v>293</v>
      </c>
      <c r="M138">
        <v>15</v>
      </c>
      <c r="N138">
        <v>249.05</v>
      </c>
      <c r="O138" s="22" t="s">
        <v>23</v>
      </c>
    </row>
    <row r="139" spans="1:15">
      <c r="A139" s="20" t="s">
        <v>492</v>
      </c>
      <c r="B139" t="s">
        <v>493</v>
      </c>
      <c r="C139" t="s">
        <v>494</v>
      </c>
      <c r="D139" t="s">
        <v>75</v>
      </c>
      <c r="E139" t="s">
        <v>19</v>
      </c>
      <c r="F139">
        <v>42</v>
      </c>
      <c r="G139" t="s">
        <v>70</v>
      </c>
      <c r="H139" t="s">
        <v>70</v>
      </c>
      <c r="I139" t="s">
        <v>21</v>
      </c>
      <c r="J139" t="s">
        <v>129</v>
      </c>
      <c r="K139">
        <v>5</v>
      </c>
      <c r="L139">
        <v>7873</v>
      </c>
      <c r="M139">
        <v>5</v>
      </c>
      <c r="N139">
        <v>37396.75</v>
      </c>
      <c r="O139" s="22" t="s">
        <v>32</v>
      </c>
    </row>
    <row r="140" spans="1:15">
      <c r="A140" s="20" t="s">
        <v>495</v>
      </c>
      <c r="B140" t="s">
        <v>496</v>
      </c>
      <c r="C140" t="s">
        <v>497</v>
      </c>
      <c r="D140" t="s">
        <v>56</v>
      </c>
      <c r="E140" t="s">
        <v>37</v>
      </c>
      <c r="F140">
        <v>46</v>
      </c>
      <c r="G140" t="s">
        <v>38</v>
      </c>
      <c r="H140" t="s">
        <v>39</v>
      </c>
      <c r="I140" t="s">
        <v>59</v>
      </c>
      <c r="J140" t="s">
        <v>60</v>
      </c>
      <c r="K140">
        <v>2</v>
      </c>
      <c r="L140">
        <v>2779</v>
      </c>
      <c r="M140">
        <v>0</v>
      </c>
      <c r="N140">
        <v>5558</v>
      </c>
      <c r="O140" s="22" t="s">
        <v>65</v>
      </c>
    </row>
    <row r="141" spans="1:15">
      <c r="A141" s="20" t="s">
        <v>498</v>
      </c>
      <c r="B141" t="s">
        <v>499</v>
      </c>
      <c r="C141" t="s">
        <v>500</v>
      </c>
      <c r="D141" t="s">
        <v>91</v>
      </c>
      <c r="E141" t="s">
        <v>37</v>
      </c>
      <c r="F141">
        <v>48</v>
      </c>
      <c r="G141" t="s">
        <v>140</v>
      </c>
      <c r="H141" t="s">
        <v>141</v>
      </c>
      <c r="I141" t="s">
        <v>83</v>
      </c>
      <c r="J141" t="s">
        <v>118</v>
      </c>
      <c r="K141">
        <v>2</v>
      </c>
      <c r="L141">
        <v>7805</v>
      </c>
      <c r="M141">
        <v>15</v>
      </c>
      <c r="N141">
        <v>13268.5</v>
      </c>
      <c r="O141" s="22" t="s">
        <v>61</v>
      </c>
    </row>
    <row r="142" spans="1:15">
      <c r="A142" s="20" t="s">
        <v>501</v>
      </c>
      <c r="B142" t="s">
        <v>502</v>
      </c>
      <c r="C142" t="s">
        <v>503</v>
      </c>
      <c r="D142" t="s">
        <v>36</v>
      </c>
      <c r="E142" t="s">
        <v>37</v>
      </c>
      <c r="F142">
        <v>39</v>
      </c>
      <c r="G142" t="s">
        <v>100</v>
      </c>
      <c r="H142" t="s">
        <v>101</v>
      </c>
      <c r="I142" t="s">
        <v>21</v>
      </c>
      <c r="J142" t="s">
        <v>190</v>
      </c>
      <c r="K142">
        <v>5</v>
      </c>
      <c r="L142">
        <v>1727</v>
      </c>
      <c r="M142">
        <v>15</v>
      </c>
      <c r="N142">
        <v>7339.75</v>
      </c>
      <c r="O142" s="22" t="s">
        <v>65</v>
      </c>
    </row>
    <row r="143" spans="1:15">
      <c r="A143" s="20" t="s">
        <v>504</v>
      </c>
      <c r="B143" t="s">
        <v>505</v>
      </c>
      <c r="C143" t="s">
        <v>506</v>
      </c>
      <c r="D143" t="s">
        <v>80</v>
      </c>
      <c r="E143" t="s">
        <v>19</v>
      </c>
      <c r="F143">
        <v>50</v>
      </c>
      <c r="G143" t="s">
        <v>43</v>
      </c>
      <c r="H143" t="s">
        <v>44</v>
      </c>
      <c r="I143" t="s">
        <v>21</v>
      </c>
      <c r="J143" t="s">
        <v>190</v>
      </c>
      <c r="K143">
        <v>5</v>
      </c>
      <c r="L143">
        <v>739</v>
      </c>
      <c r="M143">
        <v>0</v>
      </c>
      <c r="N143">
        <v>3695</v>
      </c>
      <c r="O143" s="22" t="s">
        <v>65</v>
      </c>
    </row>
    <row r="144" spans="1:15">
      <c r="A144" s="20" t="s">
        <v>507</v>
      </c>
      <c r="B144" t="s">
        <v>508</v>
      </c>
      <c r="C144" t="s">
        <v>509</v>
      </c>
      <c r="D144" t="s">
        <v>253</v>
      </c>
      <c r="E144" t="s">
        <v>37</v>
      </c>
      <c r="F144">
        <v>41</v>
      </c>
      <c r="G144" t="s">
        <v>100</v>
      </c>
      <c r="H144" t="s">
        <v>101</v>
      </c>
      <c r="I144" t="s">
        <v>59</v>
      </c>
      <c r="J144" t="s">
        <v>71</v>
      </c>
      <c r="K144">
        <v>2</v>
      </c>
      <c r="L144">
        <v>5273</v>
      </c>
      <c r="M144">
        <v>15</v>
      </c>
      <c r="N144">
        <v>8964.1</v>
      </c>
      <c r="O144" s="22" t="s">
        <v>32</v>
      </c>
    </row>
    <row r="145" spans="1:15">
      <c r="A145" s="20" t="s">
        <v>510</v>
      </c>
      <c r="B145" t="s">
        <v>511</v>
      </c>
      <c r="C145" t="s">
        <v>512</v>
      </c>
      <c r="D145" t="s">
        <v>91</v>
      </c>
      <c r="E145" t="s">
        <v>37</v>
      </c>
      <c r="F145">
        <v>42</v>
      </c>
      <c r="G145" t="s">
        <v>100</v>
      </c>
      <c r="H145" t="s">
        <v>101</v>
      </c>
      <c r="I145" t="s">
        <v>59</v>
      </c>
      <c r="J145" t="s">
        <v>171</v>
      </c>
      <c r="K145">
        <v>3</v>
      </c>
      <c r="L145">
        <v>4769</v>
      </c>
      <c r="M145">
        <v>20</v>
      </c>
      <c r="N145">
        <v>11445.6</v>
      </c>
      <c r="O145" s="22" t="s">
        <v>61</v>
      </c>
    </row>
    <row r="146" spans="1:15">
      <c r="A146" s="20" t="s">
        <v>513</v>
      </c>
      <c r="B146" t="s">
        <v>514</v>
      </c>
      <c r="C146" t="s">
        <v>515</v>
      </c>
      <c r="D146" t="s">
        <v>105</v>
      </c>
      <c r="E146" t="s">
        <v>37</v>
      </c>
      <c r="F146">
        <v>45</v>
      </c>
      <c r="G146" t="s">
        <v>140</v>
      </c>
      <c r="H146" t="s">
        <v>141</v>
      </c>
      <c r="I146" t="s">
        <v>59</v>
      </c>
      <c r="J146" t="s">
        <v>171</v>
      </c>
      <c r="K146">
        <v>5</v>
      </c>
      <c r="L146">
        <v>6803</v>
      </c>
      <c r="M146">
        <v>0</v>
      </c>
      <c r="N146">
        <v>34015</v>
      </c>
      <c r="O146" s="22" t="s">
        <v>61</v>
      </c>
    </row>
    <row r="147" spans="1:15">
      <c r="A147" s="20" t="s">
        <v>516</v>
      </c>
      <c r="B147" t="s">
        <v>517</v>
      </c>
      <c r="C147" t="s">
        <v>518</v>
      </c>
      <c r="D147" t="s">
        <v>18</v>
      </c>
      <c r="E147" t="s">
        <v>19</v>
      </c>
      <c r="F147">
        <v>26</v>
      </c>
      <c r="G147" t="s">
        <v>100</v>
      </c>
      <c r="H147" t="s">
        <v>101</v>
      </c>
      <c r="I147" t="s">
        <v>30</v>
      </c>
      <c r="J147" t="s">
        <v>31</v>
      </c>
      <c r="K147">
        <v>5</v>
      </c>
      <c r="L147">
        <v>1023</v>
      </c>
      <c r="M147">
        <v>5</v>
      </c>
      <c r="N147">
        <v>4859.25</v>
      </c>
      <c r="O147" s="22" t="s">
        <v>61</v>
      </c>
    </row>
    <row r="148" spans="1:15">
      <c r="A148" s="20" t="s">
        <v>519</v>
      </c>
      <c r="B148" t="s">
        <v>520</v>
      </c>
      <c r="C148" t="s">
        <v>521</v>
      </c>
      <c r="D148" t="s">
        <v>159</v>
      </c>
      <c r="E148" t="s">
        <v>19</v>
      </c>
      <c r="F148">
        <v>46</v>
      </c>
      <c r="G148" t="s">
        <v>38</v>
      </c>
      <c r="H148" t="s">
        <v>39</v>
      </c>
      <c r="I148" t="s">
        <v>21</v>
      </c>
      <c r="J148" t="s">
        <v>197</v>
      </c>
      <c r="K148">
        <v>1</v>
      </c>
      <c r="L148">
        <v>969</v>
      </c>
      <c r="M148">
        <v>10</v>
      </c>
      <c r="N148">
        <v>872.1</v>
      </c>
      <c r="O148" s="22" t="s">
        <v>32</v>
      </c>
    </row>
    <row r="149" spans="1:15">
      <c r="A149" s="20" t="s">
        <v>522</v>
      </c>
      <c r="B149" t="s">
        <v>523</v>
      </c>
      <c r="C149" t="s">
        <v>524</v>
      </c>
      <c r="D149" t="s">
        <v>18</v>
      </c>
      <c r="E149" t="s">
        <v>19</v>
      </c>
      <c r="F149">
        <v>28</v>
      </c>
      <c r="G149" t="s">
        <v>28</v>
      </c>
      <c r="H149" t="s">
        <v>29</v>
      </c>
      <c r="I149" t="s">
        <v>21</v>
      </c>
      <c r="J149" t="s">
        <v>190</v>
      </c>
      <c r="K149">
        <v>5</v>
      </c>
      <c r="L149">
        <v>6136</v>
      </c>
      <c r="M149">
        <v>10</v>
      </c>
      <c r="N149">
        <v>27612</v>
      </c>
      <c r="O149" s="22" t="s">
        <v>32</v>
      </c>
    </row>
    <row r="150" spans="1:15">
      <c r="A150" s="20" t="s">
        <v>525</v>
      </c>
      <c r="B150" t="s">
        <v>526</v>
      </c>
      <c r="C150" t="s">
        <v>527</v>
      </c>
      <c r="D150" t="s">
        <v>91</v>
      </c>
      <c r="E150" t="s">
        <v>37</v>
      </c>
      <c r="F150">
        <v>47</v>
      </c>
      <c r="G150" t="s">
        <v>70</v>
      </c>
      <c r="H150" t="s">
        <v>70</v>
      </c>
      <c r="I150" t="s">
        <v>59</v>
      </c>
      <c r="J150" t="s">
        <v>110</v>
      </c>
      <c r="K150">
        <v>2</v>
      </c>
      <c r="L150">
        <v>4813</v>
      </c>
      <c r="M150">
        <v>0</v>
      </c>
      <c r="N150">
        <v>9626</v>
      </c>
      <c r="O150" s="22" t="s">
        <v>23</v>
      </c>
    </row>
    <row r="151" ht="15.75" spans="1:15">
      <c r="A151" s="49" t="s">
        <v>528</v>
      </c>
      <c r="B151" s="51" t="s">
        <v>529</v>
      </c>
      <c r="C151" s="51" t="s">
        <v>530</v>
      </c>
      <c r="D151" s="51" t="s">
        <v>204</v>
      </c>
      <c r="E151" s="51" t="s">
        <v>37</v>
      </c>
      <c r="F151" s="51">
        <v>47</v>
      </c>
      <c r="G151" s="51" t="s">
        <v>20</v>
      </c>
      <c r="H151" s="51" t="s">
        <v>20</v>
      </c>
      <c r="I151" s="51" t="s">
        <v>83</v>
      </c>
      <c r="J151" s="51" t="s">
        <v>92</v>
      </c>
      <c r="K151" s="51">
        <v>1</v>
      </c>
      <c r="L151" s="51">
        <v>541</v>
      </c>
      <c r="M151" s="51">
        <v>15</v>
      </c>
      <c r="N151" s="51">
        <v>459.85</v>
      </c>
      <c r="O151" s="52" t="s">
        <v>32</v>
      </c>
    </row>
  </sheetData>
  <mergeCells count="1">
    <mergeCell ref="Q3:W4"/>
  </mergeCell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1"/>
  <sheetViews>
    <sheetView topLeftCell="A2" workbookViewId="0">
      <selection activeCell="F21" sqref="A1:G151"/>
    </sheetView>
  </sheetViews>
  <sheetFormatPr defaultColWidth="9.14285714285714" defaultRowHeight="15"/>
  <cols>
    <col min="1" max="1" width="9" customWidth="1"/>
    <col min="2" max="2" width="19" customWidth="1"/>
    <col min="3" max="3" width="9.28571428571429" customWidth="1"/>
    <col min="4" max="4" width="10.2857142857143" customWidth="1"/>
    <col min="5" max="5" width="13" customWidth="1"/>
    <col min="6" max="6" width="14.1428571428571" customWidth="1"/>
    <col min="7" max="7" width="15.7142857142857" customWidth="1"/>
    <col min="10" max="10" width="16.5714285714286" customWidth="1"/>
    <col min="11" max="11" width="14.1428571428571" customWidth="1"/>
  </cols>
  <sheetData>
    <row r="1" spans="1:7">
      <c r="A1" s="53" t="s">
        <v>0</v>
      </c>
      <c r="B1" s="54" t="s">
        <v>9</v>
      </c>
      <c r="C1" s="54" t="s">
        <v>10</v>
      </c>
      <c r="D1" s="54" t="s">
        <v>11</v>
      </c>
      <c r="E1" s="54" t="s">
        <v>12</v>
      </c>
      <c r="F1" s="54" t="s">
        <v>13</v>
      </c>
      <c r="G1" s="55" t="s">
        <v>14</v>
      </c>
    </row>
    <row r="2" spans="1:7">
      <c r="A2" s="56" t="s">
        <v>15</v>
      </c>
      <c r="B2" s="57" t="s">
        <v>22</v>
      </c>
      <c r="C2" s="57">
        <v>1</v>
      </c>
      <c r="D2" s="57">
        <v>1760</v>
      </c>
      <c r="E2" s="57">
        <v>5</v>
      </c>
      <c r="F2" s="57">
        <v>1672</v>
      </c>
      <c r="G2" s="58" t="s">
        <v>23</v>
      </c>
    </row>
    <row r="3" spans="1:7">
      <c r="A3" s="59" t="s">
        <v>24</v>
      </c>
      <c r="B3" s="60" t="s">
        <v>31</v>
      </c>
      <c r="C3" s="60">
        <v>3</v>
      </c>
      <c r="D3" s="60">
        <v>3380</v>
      </c>
      <c r="E3" s="60">
        <v>5</v>
      </c>
      <c r="F3" s="60">
        <v>9633</v>
      </c>
      <c r="G3" s="61" t="s">
        <v>32</v>
      </c>
    </row>
    <row r="4" spans="1:15">
      <c r="A4" s="56" t="s">
        <v>33</v>
      </c>
      <c r="B4" s="57" t="s">
        <v>31</v>
      </c>
      <c r="C4" s="57">
        <v>3</v>
      </c>
      <c r="D4" s="57">
        <v>5589</v>
      </c>
      <c r="E4" s="57">
        <v>0</v>
      </c>
      <c r="F4" s="57">
        <v>16767</v>
      </c>
      <c r="G4" s="58" t="s">
        <v>32</v>
      </c>
      <c r="I4" s="23" t="s">
        <v>539</v>
      </c>
      <c r="J4" s="24"/>
      <c r="K4" s="24"/>
      <c r="L4" s="24"/>
      <c r="M4" s="24"/>
      <c r="N4" s="24"/>
      <c r="O4" s="25"/>
    </row>
    <row r="5" spans="1:15">
      <c r="A5" s="59" t="s">
        <v>40</v>
      </c>
      <c r="B5" s="60" t="s">
        <v>45</v>
      </c>
      <c r="C5" s="60">
        <v>4</v>
      </c>
      <c r="D5" s="60">
        <v>4631</v>
      </c>
      <c r="E5" s="60">
        <v>0</v>
      </c>
      <c r="F5" s="60">
        <v>18524</v>
      </c>
      <c r="G5" s="61" t="s">
        <v>32</v>
      </c>
      <c r="I5" s="26"/>
      <c r="J5" s="27"/>
      <c r="K5" s="27"/>
      <c r="L5" s="27"/>
      <c r="M5" s="27"/>
      <c r="N5" s="27"/>
      <c r="O5" s="28"/>
    </row>
    <row r="6" spans="1:7">
      <c r="A6" s="56" t="s">
        <v>46</v>
      </c>
      <c r="B6" s="57" t="s">
        <v>52</v>
      </c>
      <c r="C6" s="57">
        <v>2</v>
      </c>
      <c r="D6" s="57">
        <v>1498</v>
      </c>
      <c r="E6" s="57">
        <v>0</v>
      </c>
      <c r="F6" s="57">
        <v>2996</v>
      </c>
      <c r="G6" s="58" t="s">
        <v>32</v>
      </c>
    </row>
    <row r="7" spans="1:7">
      <c r="A7" s="59" t="s">
        <v>53</v>
      </c>
      <c r="B7" s="60" t="s">
        <v>60</v>
      </c>
      <c r="C7" s="60">
        <v>5</v>
      </c>
      <c r="D7" s="60">
        <v>2058</v>
      </c>
      <c r="E7" s="60">
        <v>10</v>
      </c>
      <c r="F7" s="60">
        <v>9261</v>
      </c>
      <c r="G7" s="61" t="s">
        <v>61</v>
      </c>
    </row>
    <row r="8" spans="1:11">
      <c r="A8" s="56" t="s">
        <v>62</v>
      </c>
      <c r="B8" s="57" t="s">
        <v>52</v>
      </c>
      <c r="C8" s="57">
        <v>3</v>
      </c>
      <c r="D8" s="57">
        <v>3392</v>
      </c>
      <c r="E8" s="57">
        <v>0</v>
      </c>
      <c r="F8" s="57">
        <v>10176</v>
      </c>
      <c r="G8" s="58" t="s">
        <v>65</v>
      </c>
      <c r="J8" s="62" t="s">
        <v>0</v>
      </c>
      <c r="K8" s="62" t="s">
        <v>13</v>
      </c>
    </row>
    <row r="9" spans="1:11">
      <c r="A9" s="59" t="s">
        <v>66</v>
      </c>
      <c r="B9" s="60" t="s">
        <v>71</v>
      </c>
      <c r="C9" s="60">
        <v>5</v>
      </c>
      <c r="D9" s="60">
        <v>3267</v>
      </c>
      <c r="E9" s="60">
        <v>5</v>
      </c>
      <c r="F9" s="60">
        <v>15518.25</v>
      </c>
      <c r="G9" s="61" t="s">
        <v>32</v>
      </c>
      <c r="J9" s="63" t="s">
        <v>15</v>
      </c>
      <c r="K9" s="64">
        <f>VLOOKUP(A2,A2:G151,6,0)</f>
        <v>1672</v>
      </c>
    </row>
    <row r="10" spans="1:7">
      <c r="A10" s="56" t="s">
        <v>72</v>
      </c>
      <c r="B10" s="57" t="s">
        <v>76</v>
      </c>
      <c r="C10" s="57">
        <v>4</v>
      </c>
      <c r="D10" s="57">
        <v>4493</v>
      </c>
      <c r="E10" s="57">
        <v>15</v>
      </c>
      <c r="F10" s="57">
        <v>15276.2</v>
      </c>
      <c r="G10" s="58" t="s">
        <v>23</v>
      </c>
    </row>
    <row r="11" spans="1:7">
      <c r="A11" s="59" t="s">
        <v>77</v>
      </c>
      <c r="B11" s="60" t="s">
        <v>84</v>
      </c>
      <c r="C11" s="60">
        <v>4</v>
      </c>
      <c r="D11" s="60">
        <v>4100</v>
      </c>
      <c r="E11" s="60">
        <v>15</v>
      </c>
      <c r="F11" s="60">
        <v>13940</v>
      </c>
      <c r="G11" s="61" t="s">
        <v>32</v>
      </c>
    </row>
    <row r="12" spans="1:14">
      <c r="A12" s="56" t="s">
        <v>85</v>
      </c>
      <c r="B12" s="57" t="s">
        <v>52</v>
      </c>
      <c r="C12" s="57">
        <v>1</v>
      </c>
      <c r="D12" s="57">
        <v>5984</v>
      </c>
      <c r="E12" s="57">
        <v>20</v>
      </c>
      <c r="F12" s="57">
        <v>4787.2</v>
      </c>
      <c r="G12" s="58" t="s">
        <v>65</v>
      </c>
      <c r="I12" s="65" t="s">
        <v>540</v>
      </c>
      <c r="J12" s="65"/>
      <c r="K12" s="65"/>
      <c r="L12" s="65"/>
      <c r="M12" s="65"/>
      <c r="N12" s="65"/>
    </row>
    <row r="13" spans="1:14">
      <c r="A13" s="59" t="s">
        <v>88</v>
      </c>
      <c r="B13" s="60" t="s">
        <v>92</v>
      </c>
      <c r="C13" s="60">
        <v>5</v>
      </c>
      <c r="D13" s="60">
        <v>7377</v>
      </c>
      <c r="E13" s="60">
        <v>10</v>
      </c>
      <c r="F13" s="60">
        <v>33196.5</v>
      </c>
      <c r="G13" s="61" t="s">
        <v>23</v>
      </c>
      <c r="I13" s="65"/>
      <c r="J13" s="65"/>
      <c r="K13" s="65"/>
      <c r="L13" s="65"/>
      <c r="M13" s="65"/>
      <c r="N13" s="65"/>
    </row>
    <row r="14" spans="1:7">
      <c r="A14" s="56" t="s">
        <v>93</v>
      </c>
      <c r="B14" s="57" t="s">
        <v>96</v>
      </c>
      <c r="C14" s="57">
        <v>4</v>
      </c>
      <c r="D14" s="57">
        <v>6272</v>
      </c>
      <c r="E14" s="57">
        <v>10</v>
      </c>
      <c r="F14" s="57">
        <v>22579.2</v>
      </c>
      <c r="G14" s="58" t="s">
        <v>65</v>
      </c>
    </row>
    <row r="15" spans="1:11">
      <c r="A15" s="59" t="s">
        <v>97</v>
      </c>
      <c r="B15" s="60" t="s">
        <v>71</v>
      </c>
      <c r="C15" s="60">
        <v>4</v>
      </c>
      <c r="D15" s="60">
        <v>6200</v>
      </c>
      <c r="E15" s="60">
        <v>0</v>
      </c>
      <c r="F15" s="60">
        <v>24800</v>
      </c>
      <c r="G15" s="61" t="s">
        <v>23</v>
      </c>
      <c r="J15" s="62" t="s">
        <v>0</v>
      </c>
      <c r="K15" s="62" t="s">
        <v>13</v>
      </c>
    </row>
    <row r="16" spans="1:11">
      <c r="A16" s="56" t="s">
        <v>102</v>
      </c>
      <c r="B16" s="57" t="s">
        <v>92</v>
      </c>
      <c r="C16" s="57">
        <v>4</v>
      </c>
      <c r="D16" s="57">
        <v>5435</v>
      </c>
      <c r="E16" s="57">
        <v>20</v>
      </c>
      <c r="F16" s="57">
        <v>17392</v>
      </c>
      <c r="G16" s="58" t="s">
        <v>23</v>
      </c>
      <c r="J16" s="66" t="s">
        <v>62</v>
      </c>
      <c r="K16" s="66" cm="1">
        <f t="array" ref="K16">INDEX(F:F,MATCH(J16,A:A,0))</f>
        <v>10176</v>
      </c>
    </row>
    <row r="17" spans="1:7">
      <c r="A17" s="59" t="s">
        <v>106</v>
      </c>
      <c r="B17" s="60" t="s">
        <v>110</v>
      </c>
      <c r="C17" s="60">
        <v>3</v>
      </c>
      <c r="D17" s="60">
        <v>933</v>
      </c>
      <c r="E17" s="60">
        <v>20</v>
      </c>
      <c r="F17" s="60">
        <v>2239.2</v>
      </c>
      <c r="G17" s="61" t="s">
        <v>23</v>
      </c>
    </row>
    <row r="18" spans="1:7">
      <c r="A18" s="56" t="s">
        <v>111</v>
      </c>
      <c r="B18" s="57" t="s">
        <v>92</v>
      </c>
      <c r="C18" s="57">
        <v>2</v>
      </c>
      <c r="D18" s="57">
        <v>1479</v>
      </c>
      <c r="E18" s="57">
        <v>20</v>
      </c>
      <c r="F18" s="57">
        <v>2366.4</v>
      </c>
      <c r="G18" s="58" t="s">
        <v>65</v>
      </c>
    </row>
    <row r="19" spans="1:14">
      <c r="A19" s="59" t="s">
        <v>115</v>
      </c>
      <c r="B19" s="60" t="s">
        <v>118</v>
      </c>
      <c r="C19" s="60">
        <v>3</v>
      </c>
      <c r="D19" s="60">
        <v>3426</v>
      </c>
      <c r="E19" s="60">
        <v>20</v>
      </c>
      <c r="F19" s="60">
        <v>8222.4</v>
      </c>
      <c r="G19" s="61" t="s">
        <v>32</v>
      </c>
      <c r="I19" s="67" t="s">
        <v>541</v>
      </c>
      <c r="J19" s="67"/>
      <c r="K19" s="67"/>
      <c r="L19" s="67"/>
      <c r="M19" s="67"/>
      <c r="N19" s="67"/>
    </row>
    <row r="20" spans="1:14">
      <c r="A20" s="56" t="s">
        <v>119</v>
      </c>
      <c r="B20" s="57" t="s">
        <v>22</v>
      </c>
      <c r="C20" s="57">
        <v>1</v>
      </c>
      <c r="D20" s="57">
        <v>3343</v>
      </c>
      <c r="E20" s="57">
        <v>5</v>
      </c>
      <c r="F20" s="57">
        <v>3175.85</v>
      </c>
      <c r="G20" s="58" t="s">
        <v>32</v>
      </c>
      <c r="I20" s="67"/>
      <c r="J20" s="67"/>
      <c r="K20" s="67"/>
      <c r="L20" s="67"/>
      <c r="M20" s="67"/>
      <c r="N20" s="67"/>
    </row>
    <row r="21" spans="1:7">
      <c r="A21" s="59" t="s">
        <v>122</v>
      </c>
      <c r="B21" s="60" t="s">
        <v>92</v>
      </c>
      <c r="C21" s="60">
        <v>3</v>
      </c>
      <c r="D21" s="60">
        <v>7309</v>
      </c>
      <c r="E21" s="60">
        <v>15</v>
      </c>
      <c r="F21" s="60">
        <v>18637.95</v>
      </c>
      <c r="G21" s="61" t="s">
        <v>65</v>
      </c>
    </row>
    <row r="22" spans="1:11">
      <c r="A22" s="56" t="s">
        <v>126</v>
      </c>
      <c r="B22" s="57" t="s">
        <v>129</v>
      </c>
      <c r="C22" s="57">
        <v>5</v>
      </c>
      <c r="D22" s="57">
        <v>2286</v>
      </c>
      <c r="E22" s="57">
        <v>15</v>
      </c>
      <c r="F22" s="57">
        <v>9715.5</v>
      </c>
      <c r="G22" s="58" t="s">
        <v>65</v>
      </c>
      <c r="J22" s="68" t="s">
        <v>0</v>
      </c>
      <c r="K22" s="69" t="s">
        <v>2</v>
      </c>
    </row>
    <row r="23" spans="1:11">
      <c r="A23" s="59" t="s">
        <v>130</v>
      </c>
      <c r="B23" s="60" t="s">
        <v>133</v>
      </c>
      <c r="C23" s="60">
        <v>3</v>
      </c>
      <c r="D23" s="60">
        <v>5782</v>
      </c>
      <c r="E23" s="60">
        <v>5</v>
      </c>
      <c r="F23" s="60">
        <v>16478.7</v>
      </c>
      <c r="G23" s="61" t="s">
        <v>61</v>
      </c>
      <c r="J23" s="64" t="s">
        <v>72</v>
      </c>
      <c r="K23" s="64" t="str">
        <f>VLOOKUP(J23,'Sales Data'!A1:O151,3,0)</f>
        <v>C109</v>
      </c>
    </row>
    <row r="24" spans="1:7">
      <c r="A24" s="56" t="s">
        <v>134</v>
      </c>
      <c r="B24" s="57" t="s">
        <v>110</v>
      </c>
      <c r="C24" s="57">
        <v>3</v>
      </c>
      <c r="D24" s="57">
        <v>2435</v>
      </c>
      <c r="E24" s="57">
        <v>20</v>
      </c>
      <c r="F24" s="57">
        <v>5844</v>
      </c>
      <c r="G24" s="58" t="s">
        <v>65</v>
      </c>
    </row>
    <row r="25" spans="1:7">
      <c r="A25" s="59" t="s">
        <v>137</v>
      </c>
      <c r="B25" s="60" t="s">
        <v>118</v>
      </c>
      <c r="C25" s="60">
        <v>2</v>
      </c>
      <c r="D25" s="60">
        <v>7432</v>
      </c>
      <c r="E25" s="60">
        <v>10</v>
      </c>
      <c r="F25" s="60">
        <v>13377.6</v>
      </c>
      <c r="G25" s="61" t="s">
        <v>65</v>
      </c>
    </row>
    <row r="26" spans="1:7">
      <c r="A26" s="56" t="s">
        <v>142</v>
      </c>
      <c r="B26" s="57" t="s">
        <v>76</v>
      </c>
      <c r="C26" s="57">
        <v>1</v>
      </c>
      <c r="D26" s="57">
        <v>3068</v>
      </c>
      <c r="E26" s="57">
        <v>10</v>
      </c>
      <c r="F26" s="57">
        <v>2761.2</v>
      </c>
      <c r="G26" s="58" t="s">
        <v>61</v>
      </c>
    </row>
    <row r="27" spans="1:7">
      <c r="A27" s="59" t="s">
        <v>146</v>
      </c>
      <c r="B27" s="60" t="s">
        <v>52</v>
      </c>
      <c r="C27" s="60">
        <v>3</v>
      </c>
      <c r="D27" s="60">
        <v>5800</v>
      </c>
      <c r="E27" s="60">
        <v>0</v>
      </c>
      <c r="F27" s="60">
        <v>17400</v>
      </c>
      <c r="G27" s="61" t="s">
        <v>61</v>
      </c>
    </row>
    <row r="28" spans="1:7">
      <c r="A28" s="56" t="s">
        <v>150</v>
      </c>
      <c r="B28" s="57" t="s">
        <v>84</v>
      </c>
      <c r="C28" s="57">
        <v>3</v>
      </c>
      <c r="D28" s="57">
        <v>1232</v>
      </c>
      <c r="E28" s="57">
        <v>10</v>
      </c>
      <c r="F28" s="57">
        <v>3326.4</v>
      </c>
      <c r="G28" s="58" t="s">
        <v>32</v>
      </c>
    </row>
    <row r="29" spans="1:7">
      <c r="A29" s="59" t="s">
        <v>153</v>
      </c>
      <c r="B29" s="60" t="s">
        <v>52</v>
      </c>
      <c r="C29" s="60">
        <v>2</v>
      </c>
      <c r="D29" s="60">
        <v>5106</v>
      </c>
      <c r="E29" s="60">
        <v>5</v>
      </c>
      <c r="F29" s="60">
        <v>9701.4</v>
      </c>
      <c r="G29" s="61" t="s">
        <v>61</v>
      </c>
    </row>
    <row r="30" spans="1:7">
      <c r="A30" s="56" t="s">
        <v>156</v>
      </c>
      <c r="B30" s="57" t="s">
        <v>133</v>
      </c>
      <c r="C30" s="57">
        <v>1</v>
      </c>
      <c r="D30" s="57">
        <v>4246</v>
      </c>
      <c r="E30" s="57">
        <v>15</v>
      </c>
      <c r="F30" s="57">
        <v>3609.1</v>
      </c>
      <c r="G30" s="58" t="s">
        <v>61</v>
      </c>
    </row>
    <row r="31" spans="1:7">
      <c r="A31" s="59" t="s">
        <v>160</v>
      </c>
      <c r="B31" s="60" t="s">
        <v>164</v>
      </c>
      <c r="C31" s="60">
        <v>3</v>
      </c>
      <c r="D31" s="60">
        <v>2000</v>
      </c>
      <c r="E31" s="60">
        <v>15</v>
      </c>
      <c r="F31" s="60">
        <v>5100</v>
      </c>
      <c r="G31" s="61" t="s">
        <v>61</v>
      </c>
    </row>
    <row r="32" spans="1:7">
      <c r="A32" s="56" t="s">
        <v>165</v>
      </c>
      <c r="B32" s="57" t="s">
        <v>129</v>
      </c>
      <c r="C32" s="57">
        <v>2</v>
      </c>
      <c r="D32" s="57">
        <v>254</v>
      </c>
      <c r="E32" s="57">
        <v>0</v>
      </c>
      <c r="F32" s="57">
        <v>508</v>
      </c>
      <c r="G32" s="58" t="s">
        <v>61</v>
      </c>
    </row>
    <row r="33" spans="1:7">
      <c r="A33" s="59" t="s">
        <v>168</v>
      </c>
      <c r="B33" s="60" t="s">
        <v>171</v>
      </c>
      <c r="C33" s="60">
        <v>5</v>
      </c>
      <c r="D33" s="60">
        <v>6436</v>
      </c>
      <c r="E33" s="60">
        <v>20</v>
      </c>
      <c r="F33" s="60">
        <v>25744</v>
      </c>
      <c r="G33" s="61" t="s">
        <v>61</v>
      </c>
    </row>
    <row r="34" spans="1:7">
      <c r="A34" s="56" t="s">
        <v>172</v>
      </c>
      <c r="B34" s="57" t="s">
        <v>22</v>
      </c>
      <c r="C34" s="57">
        <v>5</v>
      </c>
      <c r="D34" s="57">
        <v>6440</v>
      </c>
      <c r="E34" s="57">
        <v>10</v>
      </c>
      <c r="F34" s="57">
        <v>28980</v>
      </c>
      <c r="G34" s="58" t="s">
        <v>65</v>
      </c>
    </row>
    <row r="35" spans="1:7">
      <c r="A35" s="59" t="s">
        <v>175</v>
      </c>
      <c r="B35" s="60" t="s">
        <v>129</v>
      </c>
      <c r="C35" s="60">
        <v>3</v>
      </c>
      <c r="D35" s="60">
        <v>329</v>
      </c>
      <c r="E35" s="60">
        <v>10</v>
      </c>
      <c r="F35" s="60">
        <v>888.3</v>
      </c>
      <c r="G35" s="61" t="s">
        <v>32</v>
      </c>
    </row>
    <row r="36" spans="1:7">
      <c r="A36" s="56" t="s">
        <v>178</v>
      </c>
      <c r="B36" s="57" t="s">
        <v>22</v>
      </c>
      <c r="C36" s="57">
        <v>3</v>
      </c>
      <c r="D36" s="57">
        <v>3615</v>
      </c>
      <c r="E36" s="57">
        <v>10</v>
      </c>
      <c r="F36" s="57">
        <v>9760.5</v>
      </c>
      <c r="G36" s="58" t="s">
        <v>23</v>
      </c>
    </row>
    <row r="37" spans="1:7">
      <c r="A37" s="59" t="s">
        <v>181</v>
      </c>
      <c r="B37" s="60" t="s">
        <v>76</v>
      </c>
      <c r="C37" s="60">
        <v>5</v>
      </c>
      <c r="D37" s="60">
        <v>2853</v>
      </c>
      <c r="E37" s="60">
        <v>20</v>
      </c>
      <c r="F37" s="60">
        <v>11412</v>
      </c>
      <c r="G37" s="61" t="s">
        <v>32</v>
      </c>
    </row>
    <row r="38" spans="1:7">
      <c r="A38" s="56" t="s">
        <v>184</v>
      </c>
      <c r="B38" s="57" t="s">
        <v>92</v>
      </c>
      <c r="C38" s="57">
        <v>3</v>
      </c>
      <c r="D38" s="57">
        <v>5019</v>
      </c>
      <c r="E38" s="57">
        <v>20</v>
      </c>
      <c r="F38" s="57">
        <v>12045.6</v>
      </c>
      <c r="G38" s="58" t="s">
        <v>61</v>
      </c>
    </row>
    <row r="39" spans="1:7">
      <c r="A39" s="59" t="s">
        <v>187</v>
      </c>
      <c r="B39" s="60" t="s">
        <v>190</v>
      </c>
      <c r="C39" s="60">
        <v>3</v>
      </c>
      <c r="D39" s="60">
        <v>2835</v>
      </c>
      <c r="E39" s="60">
        <v>15</v>
      </c>
      <c r="F39" s="60">
        <v>7229.25</v>
      </c>
      <c r="G39" s="61" t="s">
        <v>23</v>
      </c>
    </row>
    <row r="40" spans="1:7">
      <c r="A40" s="56" t="s">
        <v>191</v>
      </c>
      <c r="B40" s="57" t="s">
        <v>76</v>
      </c>
      <c r="C40" s="57">
        <v>4</v>
      </c>
      <c r="D40" s="57">
        <v>7527</v>
      </c>
      <c r="E40" s="57">
        <v>20</v>
      </c>
      <c r="F40" s="57">
        <v>24086.4</v>
      </c>
      <c r="G40" s="58" t="s">
        <v>32</v>
      </c>
    </row>
    <row r="41" spans="1:7">
      <c r="A41" s="59" t="s">
        <v>194</v>
      </c>
      <c r="B41" s="60" t="s">
        <v>197</v>
      </c>
      <c r="C41" s="60">
        <v>5</v>
      </c>
      <c r="D41" s="60">
        <v>4784</v>
      </c>
      <c r="E41" s="60">
        <v>15</v>
      </c>
      <c r="F41" s="60">
        <v>20332</v>
      </c>
      <c r="G41" s="61" t="s">
        <v>61</v>
      </c>
    </row>
    <row r="42" spans="1:7">
      <c r="A42" s="56" t="s">
        <v>198</v>
      </c>
      <c r="B42" s="57" t="s">
        <v>164</v>
      </c>
      <c r="C42" s="57">
        <v>5</v>
      </c>
      <c r="D42" s="57">
        <v>6474</v>
      </c>
      <c r="E42" s="57">
        <v>10</v>
      </c>
      <c r="F42" s="57">
        <v>29133</v>
      </c>
      <c r="G42" s="58" t="s">
        <v>32</v>
      </c>
    </row>
    <row r="43" spans="1:7">
      <c r="A43" s="59" t="s">
        <v>201</v>
      </c>
      <c r="B43" s="60" t="s">
        <v>31</v>
      </c>
      <c r="C43" s="60">
        <v>5</v>
      </c>
      <c r="D43" s="60">
        <v>3694</v>
      </c>
      <c r="E43" s="60">
        <v>10</v>
      </c>
      <c r="F43" s="60">
        <v>16623</v>
      </c>
      <c r="G43" s="61" t="s">
        <v>65</v>
      </c>
    </row>
    <row r="44" spans="1:7">
      <c r="A44" s="56" t="s">
        <v>205</v>
      </c>
      <c r="B44" s="57" t="s">
        <v>171</v>
      </c>
      <c r="C44" s="57">
        <v>5</v>
      </c>
      <c r="D44" s="57">
        <v>2881</v>
      </c>
      <c r="E44" s="57">
        <v>20</v>
      </c>
      <c r="F44" s="57">
        <v>11524</v>
      </c>
      <c r="G44" s="58" t="s">
        <v>61</v>
      </c>
    </row>
    <row r="45" spans="1:7">
      <c r="A45" s="59" t="s">
        <v>208</v>
      </c>
      <c r="B45" s="60" t="s">
        <v>60</v>
      </c>
      <c r="C45" s="60">
        <v>1</v>
      </c>
      <c r="D45" s="60">
        <v>7464</v>
      </c>
      <c r="E45" s="60">
        <v>10</v>
      </c>
      <c r="F45" s="60">
        <v>6717.6</v>
      </c>
      <c r="G45" s="61" t="s">
        <v>32</v>
      </c>
    </row>
    <row r="46" spans="1:7">
      <c r="A46" s="56" t="s">
        <v>211</v>
      </c>
      <c r="B46" s="57" t="s">
        <v>22</v>
      </c>
      <c r="C46" s="57">
        <v>1</v>
      </c>
      <c r="D46" s="57">
        <v>7619</v>
      </c>
      <c r="E46" s="57">
        <v>10</v>
      </c>
      <c r="F46" s="57">
        <v>6857.1</v>
      </c>
      <c r="G46" s="58" t="s">
        <v>23</v>
      </c>
    </row>
    <row r="47" spans="1:7">
      <c r="A47" s="59" t="s">
        <v>214</v>
      </c>
      <c r="B47" s="60" t="s">
        <v>45</v>
      </c>
      <c r="C47" s="60">
        <v>2</v>
      </c>
      <c r="D47" s="60">
        <v>1087</v>
      </c>
      <c r="E47" s="60">
        <v>15</v>
      </c>
      <c r="F47" s="60">
        <v>1847.9</v>
      </c>
      <c r="G47" s="61" t="s">
        <v>61</v>
      </c>
    </row>
    <row r="48" spans="1:7">
      <c r="A48" s="56" t="s">
        <v>217</v>
      </c>
      <c r="B48" s="57" t="s">
        <v>197</v>
      </c>
      <c r="C48" s="57">
        <v>1</v>
      </c>
      <c r="D48" s="57">
        <v>6578</v>
      </c>
      <c r="E48" s="57">
        <v>5</v>
      </c>
      <c r="F48" s="57">
        <v>6249.1</v>
      </c>
      <c r="G48" s="58" t="s">
        <v>65</v>
      </c>
    </row>
    <row r="49" spans="1:7">
      <c r="A49" s="59" t="s">
        <v>220</v>
      </c>
      <c r="B49" s="60" t="s">
        <v>190</v>
      </c>
      <c r="C49" s="60">
        <v>3</v>
      </c>
      <c r="D49" s="60">
        <v>1977</v>
      </c>
      <c r="E49" s="60">
        <v>0</v>
      </c>
      <c r="F49" s="60">
        <v>5931</v>
      </c>
      <c r="G49" s="61" t="s">
        <v>32</v>
      </c>
    </row>
    <row r="50" spans="1:7">
      <c r="A50" s="56" t="s">
        <v>223</v>
      </c>
      <c r="B50" s="57" t="s">
        <v>76</v>
      </c>
      <c r="C50" s="57">
        <v>4</v>
      </c>
      <c r="D50" s="57">
        <v>2464</v>
      </c>
      <c r="E50" s="57">
        <v>0</v>
      </c>
      <c r="F50" s="57">
        <v>9856</v>
      </c>
      <c r="G50" s="58" t="s">
        <v>65</v>
      </c>
    </row>
    <row r="51" spans="1:7">
      <c r="A51" s="59" t="s">
        <v>226</v>
      </c>
      <c r="B51" s="60" t="s">
        <v>110</v>
      </c>
      <c r="C51" s="60">
        <v>1</v>
      </c>
      <c r="D51" s="60">
        <v>456</v>
      </c>
      <c r="E51" s="60">
        <v>5</v>
      </c>
      <c r="F51" s="60">
        <v>433.2</v>
      </c>
      <c r="G51" s="61" t="s">
        <v>65</v>
      </c>
    </row>
    <row r="52" spans="1:7">
      <c r="A52" s="56" t="s">
        <v>229</v>
      </c>
      <c r="B52" s="57" t="s">
        <v>31</v>
      </c>
      <c r="C52" s="57">
        <v>2</v>
      </c>
      <c r="D52" s="57">
        <v>3284</v>
      </c>
      <c r="E52" s="57">
        <v>15</v>
      </c>
      <c r="F52" s="57">
        <v>5582.8</v>
      </c>
      <c r="G52" s="58" t="s">
        <v>23</v>
      </c>
    </row>
    <row r="53" spans="1:7">
      <c r="A53" s="59" t="s">
        <v>232</v>
      </c>
      <c r="B53" s="60" t="s">
        <v>92</v>
      </c>
      <c r="C53" s="60">
        <v>5</v>
      </c>
      <c r="D53" s="60">
        <v>6912</v>
      </c>
      <c r="E53" s="60">
        <v>0</v>
      </c>
      <c r="F53" s="60">
        <v>34560</v>
      </c>
      <c r="G53" s="61" t="s">
        <v>23</v>
      </c>
    </row>
    <row r="54" spans="1:7">
      <c r="A54" s="56" t="s">
        <v>235</v>
      </c>
      <c r="B54" s="57" t="s">
        <v>52</v>
      </c>
      <c r="C54" s="57">
        <v>1</v>
      </c>
      <c r="D54" s="57">
        <v>7586</v>
      </c>
      <c r="E54" s="57">
        <v>15</v>
      </c>
      <c r="F54" s="57">
        <v>6448.1</v>
      </c>
      <c r="G54" s="58" t="s">
        <v>32</v>
      </c>
    </row>
    <row r="55" spans="1:7">
      <c r="A55" s="59" t="s">
        <v>238</v>
      </c>
      <c r="B55" s="60" t="s">
        <v>133</v>
      </c>
      <c r="C55" s="60">
        <v>1</v>
      </c>
      <c r="D55" s="60">
        <v>1617</v>
      </c>
      <c r="E55" s="60">
        <v>5</v>
      </c>
      <c r="F55" s="60">
        <v>1536.15</v>
      </c>
      <c r="G55" s="61" t="s">
        <v>65</v>
      </c>
    </row>
    <row r="56" spans="1:7">
      <c r="A56" s="56" t="s">
        <v>241</v>
      </c>
      <c r="B56" s="57" t="s">
        <v>60</v>
      </c>
      <c r="C56" s="57">
        <v>5</v>
      </c>
      <c r="D56" s="57">
        <v>7192</v>
      </c>
      <c r="E56" s="57">
        <v>20</v>
      </c>
      <c r="F56" s="57">
        <v>28768</v>
      </c>
      <c r="G56" s="58" t="s">
        <v>32</v>
      </c>
    </row>
    <row r="57" spans="1:7">
      <c r="A57" s="59" t="s">
        <v>244</v>
      </c>
      <c r="B57" s="60" t="s">
        <v>110</v>
      </c>
      <c r="C57" s="60">
        <v>5</v>
      </c>
      <c r="D57" s="60">
        <v>2928</v>
      </c>
      <c r="E57" s="60">
        <v>0</v>
      </c>
      <c r="F57" s="60">
        <v>14640</v>
      </c>
      <c r="G57" s="61" t="s">
        <v>32</v>
      </c>
    </row>
    <row r="58" spans="1:7">
      <c r="A58" s="56" t="s">
        <v>247</v>
      </c>
      <c r="B58" s="57" t="s">
        <v>84</v>
      </c>
      <c r="C58" s="57">
        <v>2</v>
      </c>
      <c r="D58" s="57">
        <v>1292</v>
      </c>
      <c r="E58" s="57">
        <v>0</v>
      </c>
      <c r="F58" s="57">
        <v>2584</v>
      </c>
      <c r="G58" s="58" t="s">
        <v>32</v>
      </c>
    </row>
    <row r="59" spans="1:7">
      <c r="A59" s="59" t="s">
        <v>250</v>
      </c>
      <c r="B59" s="60" t="s">
        <v>129</v>
      </c>
      <c r="C59" s="60">
        <v>5</v>
      </c>
      <c r="D59" s="60">
        <v>2583</v>
      </c>
      <c r="E59" s="60">
        <v>10</v>
      </c>
      <c r="F59" s="60">
        <v>11623.5</v>
      </c>
      <c r="G59" s="61" t="s">
        <v>61</v>
      </c>
    </row>
    <row r="60" spans="1:7">
      <c r="A60" s="56" t="s">
        <v>254</v>
      </c>
      <c r="B60" s="57" t="s">
        <v>45</v>
      </c>
      <c r="C60" s="57">
        <v>2</v>
      </c>
      <c r="D60" s="57">
        <v>3844</v>
      </c>
      <c r="E60" s="57">
        <v>5</v>
      </c>
      <c r="F60" s="57">
        <v>7303.6</v>
      </c>
      <c r="G60" s="58" t="s">
        <v>23</v>
      </c>
    </row>
    <row r="61" spans="1:7">
      <c r="A61" s="59" t="s">
        <v>257</v>
      </c>
      <c r="B61" s="60" t="s">
        <v>164</v>
      </c>
      <c r="C61" s="60">
        <v>1</v>
      </c>
      <c r="D61" s="60">
        <v>3324</v>
      </c>
      <c r="E61" s="60">
        <v>5</v>
      </c>
      <c r="F61" s="60">
        <v>3157.8</v>
      </c>
      <c r="G61" s="61" t="s">
        <v>32</v>
      </c>
    </row>
    <row r="62" spans="1:7">
      <c r="A62" s="56" t="s">
        <v>260</v>
      </c>
      <c r="B62" s="57" t="s">
        <v>45</v>
      </c>
      <c r="C62" s="57">
        <v>1</v>
      </c>
      <c r="D62" s="57">
        <v>5894</v>
      </c>
      <c r="E62" s="57">
        <v>0</v>
      </c>
      <c r="F62" s="57">
        <v>5894</v>
      </c>
      <c r="G62" s="58" t="s">
        <v>65</v>
      </c>
    </row>
    <row r="63" spans="1:7">
      <c r="A63" s="59" t="s">
        <v>263</v>
      </c>
      <c r="B63" s="60" t="s">
        <v>190</v>
      </c>
      <c r="C63" s="60">
        <v>4</v>
      </c>
      <c r="D63" s="60">
        <v>500</v>
      </c>
      <c r="E63" s="60">
        <v>0</v>
      </c>
      <c r="F63" s="60">
        <v>2000</v>
      </c>
      <c r="G63" s="61" t="s">
        <v>23</v>
      </c>
    </row>
    <row r="64" spans="1:7">
      <c r="A64" s="56" t="s">
        <v>266</v>
      </c>
      <c r="B64" s="57" t="s">
        <v>133</v>
      </c>
      <c r="C64" s="57">
        <v>4</v>
      </c>
      <c r="D64" s="57">
        <v>710</v>
      </c>
      <c r="E64" s="57">
        <v>15</v>
      </c>
      <c r="F64" s="57">
        <v>2414</v>
      </c>
      <c r="G64" s="58" t="s">
        <v>23</v>
      </c>
    </row>
    <row r="65" spans="1:7">
      <c r="A65" s="59" t="s">
        <v>269</v>
      </c>
      <c r="B65" s="60" t="s">
        <v>197</v>
      </c>
      <c r="C65" s="60">
        <v>5</v>
      </c>
      <c r="D65" s="60">
        <v>6014</v>
      </c>
      <c r="E65" s="60">
        <v>5</v>
      </c>
      <c r="F65" s="60">
        <v>28566.5</v>
      </c>
      <c r="G65" s="61" t="s">
        <v>23</v>
      </c>
    </row>
    <row r="66" spans="1:7">
      <c r="A66" s="56" t="s">
        <v>272</v>
      </c>
      <c r="B66" s="57" t="s">
        <v>164</v>
      </c>
      <c r="C66" s="57">
        <v>4</v>
      </c>
      <c r="D66" s="57">
        <v>3249</v>
      </c>
      <c r="E66" s="57">
        <v>20</v>
      </c>
      <c r="F66" s="57">
        <v>10396.8</v>
      </c>
      <c r="G66" s="58" t="s">
        <v>65</v>
      </c>
    </row>
    <row r="67" spans="1:7">
      <c r="A67" s="59" t="s">
        <v>275</v>
      </c>
      <c r="B67" s="60" t="s">
        <v>197</v>
      </c>
      <c r="C67" s="60">
        <v>3</v>
      </c>
      <c r="D67" s="60">
        <v>2763</v>
      </c>
      <c r="E67" s="60">
        <v>0</v>
      </c>
      <c r="F67" s="60">
        <v>8289</v>
      </c>
      <c r="G67" s="61" t="s">
        <v>23</v>
      </c>
    </row>
    <row r="68" spans="1:7">
      <c r="A68" s="56" t="s">
        <v>278</v>
      </c>
      <c r="B68" s="57" t="s">
        <v>22</v>
      </c>
      <c r="C68" s="57">
        <v>5</v>
      </c>
      <c r="D68" s="57">
        <v>7448</v>
      </c>
      <c r="E68" s="57">
        <v>0</v>
      </c>
      <c r="F68" s="57">
        <v>37240</v>
      </c>
      <c r="G68" s="58" t="s">
        <v>32</v>
      </c>
    </row>
    <row r="69" spans="1:7">
      <c r="A69" s="59" t="s">
        <v>281</v>
      </c>
      <c r="B69" s="60" t="s">
        <v>76</v>
      </c>
      <c r="C69" s="60">
        <v>1</v>
      </c>
      <c r="D69" s="60">
        <v>2341</v>
      </c>
      <c r="E69" s="60">
        <v>15</v>
      </c>
      <c r="F69" s="60">
        <v>1989.85</v>
      </c>
      <c r="G69" s="61" t="s">
        <v>23</v>
      </c>
    </row>
    <row r="70" spans="1:7">
      <c r="A70" s="56" t="s">
        <v>284</v>
      </c>
      <c r="B70" s="57" t="s">
        <v>92</v>
      </c>
      <c r="C70" s="57">
        <v>2</v>
      </c>
      <c r="D70" s="57">
        <v>894</v>
      </c>
      <c r="E70" s="57">
        <v>20</v>
      </c>
      <c r="F70" s="57">
        <v>1430.4</v>
      </c>
      <c r="G70" s="58" t="s">
        <v>65</v>
      </c>
    </row>
    <row r="71" spans="1:7">
      <c r="A71" s="59" t="s">
        <v>287</v>
      </c>
      <c r="B71" s="60" t="s">
        <v>129</v>
      </c>
      <c r="C71" s="60">
        <v>3</v>
      </c>
      <c r="D71" s="60">
        <v>6556</v>
      </c>
      <c r="E71" s="60">
        <v>20</v>
      </c>
      <c r="F71" s="60">
        <v>15734.4</v>
      </c>
      <c r="G71" s="61" t="s">
        <v>23</v>
      </c>
    </row>
    <row r="72" spans="1:7">
      <c r="A72" s="56" t="s">
        <v>290</v>
      </c>
      <c r="B72" s="57" t="s">
        <v>45</v>
      </c>
      <c r="C72" s="57">
        <v>3</v>
      </c>
      <c r="D72" s="57">
        <v>4254</v>
      </c>
      <c r="E72" s="57">
        <v>20</v>
      </c>
      <c r="F72" s="57">
        <v>10209.6</v>
      </c>
      <c r="G72" s="58" t="s">
        <v>65</v>
      </c>
    </row>
    <row r="73" spans="1:7">
      <c r="A73" s="59" t="s">
        <v>293</v>
      </c>
      <c r="B73" s="60" t="s">
        <v>110</v>
      </c>
      <c r="C73" s="60">
        <v>5</v>
      </c>
      <c r="D73" s="60">
        <v>6616</v>
      </c>
      <c r="E73" s="60">
        <v>0</v>
      </c>
      <c r="F73" s="60">
        <v>33080</v>
      </c>
      <c r="G73" s="61" t="s">
        <v>61</v>
      </c>
    </row>
    <row r="74" spans="1:7">
      <c r="A74" s="56" t="s">
        <v>296</v>
      </c>
      <c r="B74" s="57" t="s">
        <v>96</v>
      </c>
      <c r="C74" s="57">
        <v>4</v>
      </c>
      <c r="D74" s="57">
        <v>2580</v>
      </c>
      <c r="E74" s="57">
        <v>10</v>
      </c>
      <c r="F74" s="57">
        <v>9288</v>
      </c>
      <c r="G74" s="58" t="s">
        <v>61</v>
      </c>
    </row>
    <row r="75" spans="1:7">
      <c r="A75" s="59" t="s">
        <v>299</v>
      </c>
      <c r="B75" s="60" t="s">
        <v>96</v>
      </c>
      <c r="C75" s="60">
        <v>1</v>
      </c>
      <c r="D75" s="60">
        <v>272</v>
      </c>
      <c r="E75" s="60">
        <v>5</v>
      </c>
      <c r="F75" s="60">
        <v>258.4</v>
      </c>
      <c r="G75" s="61" t="s">
        <v>32</v>
      </c>
    </row>
    <row r="76" spans="1:7">
      <c r="A76" s="56" t="s">
        <v>302</v>
      </c>
      <c r="B76" s="57" t="s">
        <v>96</v>
      </c>
      <c r="C76" s="57">
        <v>3</v>
      </c>
      <c r="D76" s="57">
        <v>2046</v>
      </c>
      <c r="E76" s="57">
        <v>10</v>
      </c>
      <c r="F76" s="57">
        <v>5524.2</v>
      </c>
      <c r="G76" s="58" t="s">
        <v>32</v>
      </c>
    </row>
    <row r="77" spans="1:7">
      <c r="A77" s="59" t="s">
        <v>305</v>
      </c>
      <c r="B77" s="60" t="s">
        <v>76</v>
      </c>
      <c r="C77" s="60">
        <v>2</v>
      </c>
      <c r="D77" s="60">
        <v>6869</v>
      </c>
      <c r="E77" s="60">
        <v>15</v>
      </c>
      <c r="F77" s="60">
        <v>11677.3</v>
      </c>
      <c r="G77" s="61" t="s">
        <v>61</v>
      </c>
    </row>
    <row r="78" spans="1:7">
      <c r="A78" s="56" t="s">
        <v>308</v>
      </c>
      <c r="B78" s="57" t="s">
        <v>110</v>
      </c>
      <c r="C78" s="57">
        <v>3</v>
      </c>
      <c r="D78" s="57">
        <v>7592</v>
      </c>
      <c r="E78" s="57">
        <v>0</v>
      </c>
      <c r="F78" s="57">
        <v>22776</v>
      </c>
      <c r="G78" s="58" t="s">
        <v>23</v>
      </c>
    </row>
    <row r="79" spans="1:7">
      <c r="A79" s="59" t="s">
        <v>311</v>
      </c>
      <c r="B79" s="60" t="s">
        <v>164</v>
      </c>
      <c r="C79" s="60">
        <v>1</v>
      </c>
      <c r="D79" s="60">
        <v>2855</v>
      </c>
      <c r="E79" s="60">
        <v>15</v>
      </c>
      <c r="F79" s="60">
        <v>2426.75</v>
      </c>
      <c r="G79" s="61" t="s">
        <v>65</v>
      </c>
    </row>
    <row r="80" spans="1:7">
      <c r="A80" s="56" t="s">
        <v>314</v>
      </c>
      <c r="B80" s="57" t="s">
        <v>76</v>
      </c>
      <c r="C80" s="57">
        <v>1</v>
      </c>
      <c r="D80" s="57">
        <v>2999</v>
      </c>
      <c r="E80" s="57">
        <v>5</v>
      </c>
      <c r="F80" s="57">
        <v>2849.05</v>
      </c>
      <c r="G80" s="58" t="s">
        <v>65</v>
      </c>
    </row>
    <row r="81" spans="1:7">
      <c r="A81" s="59" t="s">
        <v>317</v>
      </c>
      <c r="B81" s="60" t="s">
        <v>164</v>
      </c>
      <c r="C81" s="60">
        <v>2</v>
      </c>
      <c r="D81" s="60">
        <v>7090</v>
      </c>
      <c r="E81" s="60">
        <v>15</v>
      </c>
      <c r="F81" s="60">
        <v>12053</v>
      </c>
      <c r="G81" s="61" t="s">
        <v>65</v>
      </c>
    </row>
    <row r="82" spans="1:7">
      <c r="A82" s="56" t="s">
        <v>321</v>
      </c>
      <c r="B82" s="57" t="s">
        <v>118</v>
      </c>
      <c r="C82" s="57">
        <v>1</v>
      </c>
      <c r="D82" s="57">
        <v>6060</v>
      </c>
      <c r="E82" s="57">
        <v>15</v>
      </c>
      <c r="F82" s="57">
        <v>5151</v>
      </c>
      <c r="G82" s="58" t="s">
        <v>61</v>
      </c>
    </row>
    <row r="83" spans="1:7">
      <c r="A83" s="59" t="s">
        <v>324</v>
      </c>
      <c r="B83" s="60" t="s">
        <v>171</v>
      </c>
      <c r="C83" s="60">
        <v>3</v>
      </c>
      <c r="D83" s="60">
        <v>7598</v>
      </c>
      <c r="E83" s="60">
        <v>5</v>
      </c>
      <c r="F83" s="60">
        <v>21654.3</v>
      </c>
      <c r="G83" s="61" t="s">
        <v>32</v>
      </c>
    </row>
    <row r="84" spans="1:7">
      <c r="A84" s="56" t="s">
        <v>327</v>
      </c>
      <c r="B84" s="57" t="s">
        <v>92</v>
      </c>
      <c r="C84" s="57">
        <v>1</v>
      </c>
      <c r="D84" s="57">
        <v>4423</v>
      </c>
      <c r="E84" s="57">
        <v>10</v>
      </c>
      <c r="F84" s="57">
        <v>3980.7</v>
      </c>
      <c r="G84" s="58" t="s">
        <v>61</v>
      </c>
    </row>
    <row r="85" spans="1:7">
      <c r="A85" s="59" t="s">
        <v>330</v>
      </c>
      <c r="B85" s="60" t="s">
        <v>76</v>
      </c>
      <c r="C85" s="60">
        <v>4</v>
      </c>
      <c r="D85" s="60">
        <v>6171</v>
      </c>
      <c r="E85" s="60">
        <v>15</v>
      </c>
      <c r="F85" s="60">
        <v>20981.4</v>
      </c>
      <c r="G85" s="61" t="s">
        <v>65</v>
      </c>
    </row>
    <row r="86" spans="1:7">
      <c r="A86" s="56" t="s">
        <v>333</v>
      </c>
      <c r="B86" s="57" t="s">
        <v>110</v>
      </c>
      <c r="C86" s="57">
        <v>5</v>
      </c>
      <c r="D86" s="57">
        <v>1263</v>
      </c>
      <c r="E86" s="57">
        <v>5</v>
      </c>
      <c r="F86" s="57">
        <v>5999.25</v>
      </c>
      <c r="G86" s="58" t="s">
        <v>65</v>
      </c>
    </row>
    <row r="87" spans="1:7">
      <c r="A87" s="59" t="s">
        <v>336</v>
      </c>
      <c r="B87" s="60" t="s">
        <v>92</v>
      </c>
      <c r="C87" s="60">
        <v>3</v>
      </c>
      <c r="D87" s="60">
        <v>1616</v>
      </c>
      <c r="E87" s="60">
        <v>15</v>
      </c>
      <c r="F87" s="60">
        <v>4120.8</v>
      </c>
      <c r="G87" s="61" t="s">
        <v>23</v>
      </c>
    </row>
    <row r="88" spans="1:7">
      <c r="A88" s="56" t="s">
        <v>339</v>
      </c>
      <c r="B88" s="57" t="s">
        <v>129</v>
      </c>
      <c r="C88" s="57">
        <v>1</v>
      </c>
      <c r="D88" s="57">
        <v>4221</v>
      </c>
      <c r="E88" s="57">
        <v>20</v>
      </c>
      <c r="F88" s="57">
        <v>3376.8</v>
      </c>
      <c r="G88" s="58" t="s">
        <v>61</v>
      </c>
    </row>
    <row r="89" spans="1:7">
      <c r="A89" s="59" t="s">
        <v>342</v>
      </c>
      <c r="B89" s="60" t="s">
        <v>71</v>
      </c>
      <c r="C89" s="60">
        <v>2</v>
      </c>
      <c r="D89" s="60">
        <v>6410</v>
      </c>
      <c r="E89" s="60">
        <v>10</v>
      </c>
      <c r="F89" s="60">
        <v>11538</v>
      </c>
      <c r="G89" s="61" t="s">
        <v>23</v>
      </c>
    </row>
    <row r="90" spans="1:7">
      <c r="A90" s="56" t="s">
        <v>345</v>
      </c>
      <c r="B90" s="57" t="s">
        <v>133</v>
      </c>
      <c r="C90" s="57">
        <v>5</v>
      </c>
      <c r="D90" s="57">
        <v>1050</v>
      </c>
      <c r="E90" s="57">
        <v>20</v>
      </c>
      <c r="F90" s="57">
        <v>4200</v>
      </c>
      <c r="G90" s="58" t="s">
        <v>61</v>
      </c>
    </row>
    <row r="91" spans="1:7">
      <c r="A91" s="59" t="s">
        <v>348</v>
      </c>
      <c r="B91" s="60" t="s">
        <v>60</v>
      </c>
      <c r="C91" s="60">
        <v>1</v>
      </c>
      <c r="D91" s="60">
        <v>4252</v>
      </c>
      <c r="E91" s="60">
        <v>0</v>
      </c>
      <c r="F91" s="60">
        <v>4252</v>
      </c>
      <c r="G91" s="61" t="s">
        <v>61</v>
      </c>
    </row>
    <row r="92" spans="1:7">
      <c r="A92" s="56" t="s">
        <v>351</v>
      </c>
      <c r="B92" s="57" t="s">
        <v>164</v>
      </c>
      <c r="C92" s="57">
        <v>4</v>
      </c>
      <c r="D92" s="57">
        <v>5937</v>
      </c>
      <c r="E92" s="57">
        <v>5</v>
      </c>
      <c r="F92" s="57">
        <v>22560.6</v>
      </c>
      <c r="G92" s="58" t="s">
        <v>23</v>
      </c>
    </row>
    <row r="93" spans="1:7">
      <c r="A93" s="59" t="s">
        <v>354</v>
      </c>
      <c r="B93" s="60" t="s">
        <v>133</v>
      </c>
      <c r="C93" s="60">
        <v>5</v>
      </c>
      <c r="D93" s="60">
        <v>6990</v>
      </c>
      <c r="E93" s="60">
        <v>20</v>
      </c>
      <c r="F93" s="60">
        <v>27960</v>
      </c>
      <c r="G93" s="61" t="s">
        <v>32</v>
      </c>
    </row>
    <row r="94" spans="1:7">
      <c r="A94" s="56" t="s">
        <v>357</v>
      </c>
      <c r="B94" s="57" t="s">
        <v>31</v>
      </c>
      <c r="C94" s="57">
        <v>5</v>
      </c>
      <c r="D94" s="57">
        <v>5364</v>
      </c>
      <c r="E94" s="57">
        <v>10</v>
      </c>
      <c r="F94" s="57">
        <v>24138</v>
      </c>
      <c r="G94" s="58" t="s">
        <v>65</v>
      </c>
    </row>
    <row r="95" spans="1:7">
      <c r="A95" s="59" t="s">
        <v>360</v>
      </c>
      <c r="B95" s="60" t="s">
        <v>71</v>
      </c>
      <c r="C95" s="60">
        <v>5</v>
      </c>
      <c r="D95" s="60">
        <v>856</v>
      </c>
      <c r="E95" s="60">
        <v>10</v>
      </c>
      <c r="F95" s="60">
        <v>3852</v>
      </c>
      <c r="G95" s="61" t="s">
        <v>65</v>
      </c>
    </row>
    <row r="96" spans="1:7">
      <c r="A96" s="56" t="s">
        <v>363</v>
      </c>
      <c r="B96" s="57" t="s">
        <v>164</v>
      </c>
      <c r="C96" s="57">
        <v>4</v>
      </c>
      <c r="D96" s="57">
        <v>6985</v>
      </c>
      <c r="E96" s="57">
        <v>5</v>
      </c>
      <c r="F96" s="57">
        <v>26543</v>
      </c>
      <c r="G96" s="58" t="s">
        <v>65</v>
      </c>
    </row>
    <row r="97" spans="1:7">
      <c r="A97" s="59" t="s">
        <v>366</v>
      </c>
      <c r="B97" s="60" t="s">
        <v>190</v>
      </c>
      <c r="C97" s="60">
        <v>5</v>
      </c>
      <c r="D97" s="60">
        <v>5635</v>
      </c>
      <c r="E97" s="60">
        <v>5</v>
      </c>
      <c r="F97" s="60">
        <v>26766.25</v>
      </c>
      <c r="G97" s="61" t="s">
        <v>61</v>
      </c>
    </row>
    <row r="98" spans="1:7">
      <c r="A98" s="56" t="s">
        <v>369</v>
      </c>
      <c r="B98" s="57" t="s">
        <v>129</v>
      </c>
      <c r="C98" s="57">
        <v>5</v>
      </c>
      <c r="D98" s="57">
        <v>6672</v>
      </c>
      <c r="E98" s="57">
        <v>15</v>
      </c>
      <c r="F98" s="57">
        <v>28356</v>
      </c>
      <c r="G98" s="58" t="s">
        <v>65</v>
      </c>
    </row>
    <row r="99" spans="1:7">
      <c r="A99" s="59" t="s">
        <v>372</v>
      </c>
      <c r="B99" s="60" t="s">
        <v>52</v>
      </c>
      <c r="C99" s="60">
        <v>2</v>
      </c>
      <c r="D99" s="60">
        <v>4370</v>
      </c>
      <c r="E99" s="60">
        <v>20</v>
      </c>
      <c r="F99" s="60">
        <v>6992</v>
      </c>
      <c r="G99" s="61" t="s">
        <v>61</v>
      </c>
    </row>
    <row r="100" spans="1:7">
      <c r="A100" s="56" t="s">
        <v>375</v>
      </c>
      <c r="B100" s="57" t="s">
        <v>96</v>
      </c>
      <c r="C100" s="57">
        <v>3</v>
      </c>
      <c r="D100" s="57">
        <v>7683</v>
      </c>
      <c r="E100" s="57">
        <v>20</v>
      </c>
      <c r="F100" s="57">
        <v>18439.2</v>
      </c>
      <c r="G100" s="58" t="s">
        <v>23</v>
      </c>
    </row>
    <row r="101" spans="1:7">
      <c r="A101" s="59" t="s">
        <v>378</v>
      </c>
      <c r="B101" s="60" t="s">
        <v>96</v>
      </c>
      <c r="C101" s="60">
        <v>3</v>
      </c>
      <c r="D101" s="60">
        <v>6740</v>
      </c>
      <c r="E101" s="60">
        <v>0</v>
      </c>
      <c r="F101" s="60">
        <v>20220</v>
      </c>
      <c r="G101" s="61" t="s">
        <v>32</v>
      </c>
    </row>
    <row r="102" spans="1:7">
      <c r="A102" s="56" t="s">
        <v>381</v>
      </c>
      <c r="B102" s="57" t="s">
        <v>45</v>
      </c>
      <c r="C102" s="57">
        <v>5</v>
      </c>
      <c r="D102" s="57">
        <v>6410</v>
      </c>
      <c r="E102" s="57">
        <v>10</v>
      </c>
      <c r="F102" s="57">
        <v>28845</v>
      </c>
      <c r="G102" s="58" t="s">
        <v>32</v>
      </c>
    </row>
    <row r="103" spans="1:7">
      <c r="A103" s="59" t="s">
        <v>384</v>
      </c>
      <c r="B103" s="60" t="s">
        <v>133</v>
      </c>
      <c r="C103" s="60">
        <v>1</v>
      </c>
      <c r="D103" s="60">
        <v>7273</v>
      </c>
      <c r="E103" s="60">
        <v>10</v>
      </c>
      <c r="F103" s="60">
        <v>6545.7</v>
      </c>
      <c r="G103" s="61" t="s">
        <v>65</v>
      </c>
    </row>
    <row r="104" spans="1:7">
      <c r="A104" s="56" t="s">
        <v>387</v>
      </c>
      <c r="B104" s="57" t="s">
        <v>45</v>
      </c>
      <c r="C104" s="57">
        <v>1</v>
      </c>
      <c r="D104" s="57">
        <v>5865</v>
      </c>
      <c r="E104" s="57">
        <v>0</v>
      </c>
      <c r="F104" s="57">
        <v>5865</v>
      </c>
      <c r="G104" s="58" t="s">
        <v>65</v>
      </c>
    </row>
    <row r="105" spans="1:7">
      <c r="A105" s="59" t="s">
        <v>390</v>
      </c>
      <c r="B105" s="60" t="s">
        <v>92</v>
      </c>
      <c r="C105" s="60">
        <v>2</v>
      </c>
      <c r="D105" s="60">
        <v>1709</v>
      </c>
      <c r="E105" s="60">
        <v>5</v>
      </c>
      <c r="F105" s="60">
        <v>3247.1</v>
      </c>
      <c r="G105" s="61" t="s">
        <v>23</v>
      </c>
    </row>
    <row r="106" spans="1:7">
      <c r="A106" s="56" t="s">
        <v>393</v>
      </c>
      <c r="B106" s="57" t="s">
        <v>164</v>
      </c>
      <c r="C106" s="57">
        <v>5</v>
      </c>
      <c r="D106" s="57">
        <v>1198</v>
      </c>
      <c r="E106" s="57">
        <v>5</v>
      </c>
      <c r="F106" s="57">
        <v>5690.5</v>
      </c>
      <c r="G106" s="58" t="s">
        <v>23</v>
      </c>
    </row>
    <row r="107" spans="1:7">
      <c r="A107" s="59" t="s">
        <v>396</v>
      </c>
      <c r="B107" s="60" t="s">
        <v>60</v>
      </c>
      <c r="C107" s="60">
        <v>1</v>
      </c>
      <c r="D107" s="60">
        <v>517</v>
      </c>
      <c r="E107" s="60">
        <v>10</v>
      </c>
      <c r="F107" s="60">
        <v>465.3</v>
      </c>
      <c r="G107" s="61" t="s">
        <v>65</v>
      </c>
    </row>
    <row r="108" spans="1:7">
      <c r="A108" s="56" t="s">
        <v>399</v>
      </c>
      <c r="B108" s="57" t="s">
        <v>171</v>
      </c>
      <c r="C108" s="57">
        <v>2</v>
      </c>
      <c r="D108" s="57">
        <v>7619</v>
      </c>
      <c r="E108" s="57">
        <v>15</v>
      </c>
      <c r="F108" s="57">
        <v>12952.3</v>
      </c>
      <c r="G108" s="58" t="s">
        <v>32</v>
      </c>
    </row>
    <row r="109" spans="1:7">
      <c r="A109" s="59" t="s">
        <v>402</v>
      </c>
      <c r="B109" s="60" t="s">
        <v>171</v>
      </c>
      <c r="C109" s="60">
        <v>2</v>
      </c>
      <c r="D109" s="60">
        <v>893</v>
      </c>
      <c r="E109" s="60">
        <v>20</v>
      </c>
      <c r="F109" s="60">
        <v>1428.8</v>
      </c>
      <c r="G109" s="61" t="s">
        <v>23</v>
      </c>
    </row>
    <row r="110" spans="1:7">
      <c r="A110" s="56" t="s">
        <v>405</v>
      </c>
      <c r="B110" s="57" t="s">
        <v>110</v>
      </c>
      <c r="C110" s="57">
        <v>3</v>
      </c>
      <c r="D110" s="57">
        <v>5308</v>
      </c>
      <c r="E110" s="57">
        <v>0</v>
      </c>
      <c r="F110" s="57">
        <v>15924</v>
      </c>
      <c r="G110" s="58" t="s">
        <v>23</v>
      </c>
    </row>
    <row r="111" spans="1:7">
      <c r="A111" s="59" t="s">
        <v>408</v>
      </c>
      <c r="B111" s="60" t="s">
        <v>60</v>
      </c>
      <c r="C111" s="60">
        <v>1</v>
      </c>
      <c r="D111" s="60">
        <v>6308</v>
      </c>
      <c r="E111" s="60">
        <v>5</v>
      </c>
      <c r="F111" s="60">
        <v>5992.6</v>
      </c>
      <c r="G111" s="61" t="s">
        <v>61</v>
      </c>
    </row>
    <row r="112" spans="1:7">
      <c r="A112" s="56" t="s">
        <v>411</v>
      </c>
      <c r="B112" s="57" t="s">
        <v>164</v>
      </c>
      <c r="C112" s="57">
        <v>3</v>
      </c>
      <c r="D112" s="57">
        <v>2007</v>
      </c>
      <c r="E112" s="57">
        <v>5</v>
      </c>
      <c r="F112" s="57">
        <v>5719.95</v>
      </c>
      <c r="G112" s="58" t="s">
        <v>23</v>
      </c>
    </row>
    <row r="113" spans="1:7">
      <c r="A113" s="59" t="s">
        <v>414</v>
      </c>
      <c r="B113" s="60" t="s">
        <v>96</v>
      </c>
      <c r="C113" s="60">
        <v>3</v>
      </c>
      <c r="D113" s="60">
        <v>1031</v>
      </c>
      <c r="E113" s="60">
        <v>10</v>
      </c>
      <c r="F113" s="60">
        <v>2783.7</v>
      </c>
      <c r="G113" s="61" t="s">
        <v>32</v>
      </c>
    </row>
    <row r="114" spans="1:7">
      <c r="A114" s="56" t="s">
        <v>417</v>
      </c>
      <c r="B114" s="57" t="s">
        <v>110</v>
      </c>
      <c r="C114" s="57">
        <v>3</v>
      </c>
      <c r="D114" s="57">
        <v>2847</v>
      </c>
      <c r="E114" s="57">
        <v>20</v>
      </c>
      <c r="F114" s="57">
        <v>6832.8</v>
      </c>
      <c r="G114" s="58" t="s">
        <v>23</v>
      </c>
    </row>
    <row r="115" spans="1:7">
      <c r="A115" s="59" t="s">
        <v>420</v>
      </c>
      <c r="B115" s="60" t="s">
        <v>197</v>
      </c>
      <c r="C115" s="60">
        <v>4</v>
      </c>
      <c r="D115" s="60">
        <v>2600</v>
      </c>
      <c r="E115" s="60">
        <v>0</v>
      </c>
      <c r="F115" s="60">
        <v>10400</v>
      </c>
      <c r="G115" s="61" t="s">
        <v>23</v>
      </c>
    </row>
    <row r="116" spans="1:7">
      <c r="A116" s="56" t="s">
        <v>423</v>
      </c>
      <c r="B116" s="57" t="s">
        <v>71</v>
      </c>
      <c r="C116" s="57">
        <v>5</v>
      </c>
      <c r="D116" s="57">
        <v>3685</v>
      </c>
      <c r="E116" s="57">
        <v>20</v>
      </c>
      <c r="F116" s="57">
        <v>14740</v>
      </c>
      <c r="G116" s="58" t="s">
        <v>65</v>
      </c>
    </row>
    <row r="117" spans="1:7">
      <c r="A117" s="59" t="s">
        <v>426</v>
      </c>
      <c r="B117" s="60" t="s">
        <v>133</v>
      </c>
      <c r="C117" s="60">
        <v>2</v>
      </c>
      <c r="D117" s="60">
        <v>4117</v>
      </c>
      <c r="E117" s="60">
        <v>0</v>
      </c>
      <c r="F117" s="60">
        <v>8234</v>
      </c>
      <c r="G117" s="61" t="s">
        <v>23</v>
      </c>
    </row>
    <row r="118" spans="1:7">
      <c r="A118" s="56" t="s">
        <v>429</v>
      </c>
      <c r="B118" s="57" t="s">
        <v>96</v>
      </c>
      <c r="C118" s="57">
        <v>3</v>
      </c>
      <c r="D118" s="57">
        <v>1460</v>
      </c>
      <c r="E118" s="57">
        <v>20</v>
      </c>
      <c r="F118" s="57">
        <v>3504</v>
      </c>
      <c r="G118" s="58" t="s">
        <v>23</v>
      </c>
    </row>
    <row r="119" spans="1:7">
      <c r="A119" s="59" t="s">
        <v>432</v>
      </c>
      <c r="B119" s="60" t="s">
        <v>133</v>
      </c>
      <c r="C119" s="60">
        <v>3</v>
      </c>
      <c r="D119" s="60">
        <v>7363</v>
      </c>
      <c r="E119" s="60">
        <v>5</v>
      </c>
      <c r="F119" s="60">
        <v>20984.55</v>
      </c>
      <c r="G119" s="61" t="s">
        <v>23</v>
      </c>
    </row>
    <row r="120" spans="1:7">
      <c r="A120" s="56" t="s">
        <v>435</v>
      </c>
      <c r="B120" s="57" t="s">
        <v>197</v>
      </c>
      <c r="C120" s="57">
        <v>1</v>
      </c>
      <c r="D120" s="57">
        <v>1068</v>
      </c>
      <c r="E120" s="57">
        <v>20</v>
      </c>
      <c r="F120" s="57">
        <v>854.4</v>
      </c>
      <c r="G120" s="58" t="s">
        <v>32</v>
      </c>
    </row>
    <row r="121" spans="1:7">
      <c r="A121" s="59" t="s">
        <v>438</v>
      </c>
      <c r="B121" s="60" t="s">
        <v>71</v>
      </c>
      <c r="C121" s="60">
        <v>5</v>
      </c>
      <c r="D121" s="60">
        <v>6057</v>
      </c>
      <c r="E121" s="60">
        <v>15</v>
      </c>
      <c r="F121" s="60">
        <v>25742.25</v>
      </c>
      <c r="G121" s="61" t="s">
        <v>32</v>
      </c>
    </row>
    <row r="122" spans="1:7">
      <c r="A122" s="56" t="s">
        <v>441</v>
      </c>
      <c r="B122" s="57" t="s">
        <v>71</v>
      </c>
      <c r="C122" s="57">
        <v>2</v>
      </c>
      <c r="D122" s="57">
        <v>4397</v>
      </c>
      <c r="E122" s="57">
        <v>10</v>
      </c>
      <c r="F122" s="57">
        <v>7914.6</v>
      </c>
      <c r="G122" s="58" t="s">
        <v>23</v>
      </c>
    </row>
    <row r="123" spans="1:7">
      <c r="A123" s="59" t="s">
        <v>444</v>
      </c>
      <c r="B123" s="60" t="s">
        <v>84</v>
      </c>
      <c r="C123" s="60">
        <v>3</v>
      </c>
      <c r="D123" s="60">
        <v>3804</v>
      </c>
      <c r="E123" s="60">
        <v>20</v>
      </c>
      <c r="F123" s="60">
        <v>9129.6</v>
      </c>
      <c r="G123" s="61" t="s">
        <v>23</v>
      </c>
    </row>
    <row r="124" spans="1:7">
      <c r="A124" s="56" t="s">
        <v>447</v>
      </c>
      <c r="B124" s="57" t="s">
        <v>171</v>
      </c>
      <c r="C124" s="57">
        <v>4</v>
      </c>
      <c r="D124" s="57">
        <v>4449</v>
      </c>
      <c r="E124" s="57">
        <v>15</v>
      </c>
      <c r="F124" s="57">
        <v>15126.6</v>
      </c>
      <c r="G124" s="58" t="s">
        <v>65</v>
      </c>
    </row>
    <row r="125" spans="1:7">
      <c r="A125" s="59" t="s">
        <v>450</v>
      </c>
      <c r="B125" s="60" t="s">
        <v>22</v>
      </c>
      <c r="C125" s="60">
        <v>2</v>
      </c>
      <c r="D125" s="60">
        <v>4231</v>
      </c>
      <c r="E125" s="60">
        <v>5</v>
      </c>
      <c r="F125" s="60">
        <v>8038.9</v>
      </c>
      <c r="G125" s="61" t="s">
        <v>61</v>
      </c>
    </row>
    <row r="126" spans="1:7">
      <c r="A126" s="56" t="s">
        <v>453</v>
      </c>
      <c r="B126" s="57" t="s">
        <v>71</v>
      </c>
      <c r="C126" s="57">
        <v>2</v>
      </c>
      <c r="D126" s="57">
        <v>3254</v>
      </c>
      <c r="E126" s="57">
        <v>5</v>
      </c>
      <c r="F126" s="57">
        <v>6182.6</v>
      </c>
      <c r="G126" s="58" t="s">
        <v>23</v>
      </c>
    </row>
    <row r="127" spans="1:7">
      <c r="A127" s="59" t="s">
        <v>456</v>
      </c>
      <c r="B127" s="60" t="s">
        <v>197</v>
      </c>
      <c r="C127" s="60">
        <v>3</v>
      </c>
      <c r="D127" s="60">
        <v>6295</v>
      </c>
      <c r="E127" s="60">
        <v>5</v>
      </c>
      <c r="F127" s="60">
        <v>17940.75</v>
      </c>
      <c r="G127" s="61" t="s">
        <v>23</v>
      </c>
    </row>
    <row r="128" spans="1:7">
      <c r="A128" s="56" t="s">
        <v>459</v>
      </c>
      <c r="B128" s="57" t="s">
        <v>129</v>
      </c>
      <c r="C128" s="57">
        <v>4</v>
      </c>
      <c r="D128" s="57">
        <v>1256</v>
      </c>
      <c r="E128" s="57">
        <v>10</v>
      </c>
      <c r="F128" s="57">
        <v>4521.6</v>
      </c>
      <c r="G128" s="58" t="s">
        <v>23</v>
      </c>
    </row>
    <row r="129" spans="1:7">
      <c r="A129" s="59" t="s">
        <v>462</v>
      </c>
      <c r="B129" s="60" t="s">
        <v>129</v>
      </c>
      <c r="C129" s="60">
        <v>1</v>
      </c>
      <c r="D129" s="60">
        <v>6514</v>
      </c>
      <c r="E129" s="60">
        <v>5</v>
      </c>
      <c r="F129" s="60">
        <v>6188.3</v>
      </c>
      <c r="G129" s="61" t="s">
        <v>23</v>
      </c>
    </row>
    <row r="130" spans="1:7">
      <c r="A130" s="56" t="s">
        <v>465</v>
      </c>
      <c r="B130" s="57" t="s">
        <v>190</v>
      </c>
      <c r="C130" s="57">
        <v>3</v>
      </c>
      <c r="D130" s="57">
        <v>6931</v>
      </c>
      <c r="E130" s="57">
        <v>0</v>
      </c>
      <c r="F130" s="57">
        <v>20793</v>
      </c>
      <c r="G130" s="58" t="s">
        <v>32</v>
      </c>
    </row>
    <row r="131" spans="1:7">
      <c r="A131" s="59" t="s">
        <v>468</v>
      </c>
      <c r="B131" s="60" t="s">
        <v>164</v>
      </c>
      <c r="C131" s="60">
        <v>3</v>
      </c>
      <c r="D131" s="60">
        <v>2431</v>
      </c>
      <c r="E131" s="60">
        <v>5</v>
      </c>
      <c r="F131" s="60">
        <v>6928.35</v>
      </c>
      <c r="G131" s="61" t="s">
        <v>61</v>
      </c>
    </row>
    <row r="132" spans="1:7">
      <c r="A132" s="56" t="s">
        <v>471</v>
      </c>
      <c r="B132" s="57" t="s">
        <v>190</v>
      </c>
      <c r="C132" s="57">
        <v>5</v>
      </c>
      <c r="D132" s="57">
        <v>3171</v>
      </c>
      <c r="E132" s="57">
        <v>0</v>
      </c>
      <c r="F132" s="57">
        <v>15855</v>
      </c>
      <c r="G132" s="58" t="s">
        <v>65</v>
      </c>
    </row>
    <row r="133" spans="1:7">
      <c r="A133" s="59" t="s">
        <v>474</v>
      </c>
      <c r="B133" s="60" t="s">
        <v>133</v>
      </c>
      <c r="C133" s="60">
        <v>3</v>
      </c>
      <c r="D133" s="60">
        <v>4718</v>
      </c>
      <c r="E133" s="60">
        <v>20</v>
      </c>
      <c r="F133" s="60">
        <v>11323.2</v>
      </c>
      <c r="G133" s="61" t="s">
        <v>32</v>
      </c>
    </row>
    <row r="134" spans="1:7">
      <c r="A134" s="56" t="s">
        <v>477</v>
      </c>
      <c r="B134" s="57" t="s">
        <v>190</v>
      </c>
      <c r="C134" s="57">
        <v>5</v>
      </c>
      <c r="D134" s="57">
        <v>1436</v>
      </c>
      <c r="E134" s="57">
        <v>5</v>
      </c>
      <c r="F134" s="57">
        <v>6821</v>
      </c>
      <c r="G134" s="58" t="s">
        <v>23</v>
      </c>
    </row>
    <row r="135" spans="1:7">
      <c r="A135" s="59" t="s">
        <v>480</v>
      </c>
      <c r="B135" s="60" t="s">
        <v>22</v>
      </c>
      <c r="C135" s="60">
        <v>2</v>
      </c>
      <c r="D135" s="60">
        <v>7516</v>
      </c>
      <c r="E135" s="60">
        <v>15</v>
      </c>
      <c r="F135" s="60">
        <v>12777.2</v>
      </c>
      <c r="G135" s="61" t="s">
        <v>23</v>
      </c>
    </row>
    <row r="136" spans="1:7">
      <c r="A136" s="56" t="s">
        <v>483</v>
      </c>
      <c r="B136" s="57" t="s">
        <v>84</v>
      </c>
      <c r="C136" s="57">
        <v>4</v>
      </c>
      <c r="D136" s="57">
        <v>5324</v>
      </c>
      <c r="E136" s="57">
        <v>10</v>
      </c>
      <c r="F136" s="57">
        <v>19166.4</v>
      </c>
      <c r="G136" s="58" t="s">
        <v>61</v>
      </c>
    </row>
    <row r="137" spans="1:7">
      <c r="A137" s="59" t="s">
        <v>486</v>
      </c>
      <c r="B137" s="60" t="s">
        <v>171</v>
      </c>
      <c r="C137" s="60">
        <v>1</v>
      </c>
      <c r="D137" s="60">
        <v>4739</v>
      </c>
      <c r="E137" s="60">
        <v>10</v>
      </c>
      <c r="F137" s="60">
        <v>4265.1</v>
      </c>
      <c r="G137" s="61" t="s">
        <v>65</v>
      </c>
    </row>
    <row r="138" spans="1:7">
      <c r="A138" s="56" t="s">
        <v>489</v>
      </c>
      <c r="B138" s="57" t="s">
        <v>118</v>
      </c>
      <c r="C138" s="57">
        <v>1</v>
      </c>
      <c r="D138" s="57">
        <v>293</v>
      </c>
      <c r="E138" s="57">
        <v>15</v>
      </c>
      <c r="F138" s="57">
        <v>249.05</v>
      </c>
      <c r="G138" s="58" t="s">
        <v>23</v>
      </c>
    </row>
    <row r="139" spans="1:7">
      <c r="A139" s="59" t="s">
        <v>492</v>
      </c>
      <c r="B139" s="60" t="s">
        <v>129</v>
      </c>
      <c r="C139" s="60">
        <v>5</v>
      </c>
      <c r="D139" s="60">
        <v>7873</v>
      </c>
      <c r="E139" s="60">
        <v>5</v>
      </c>
      <c r="F139" s="60">
        <v>37396.75</v>
      </c>
      <c r="G139" s="61" t="s">
        <v>32</v>
      </c>
    </row>
    <row r="140" spans="1:7">
      <c r="A140" s="56" t="s">
        <v>495</v>
      </c>
      <c r="B140" s="57" t="s">
        <v>60</v>
      </c>
      <c r="C140" s="57">
        <v>2</v>
      </c>
      <c r="D140" s="57">
        <v>2779</v>
      </c>
      <c r="E140" s="57">
        <v>0</v>
      </c>
      <c r="F140" s="57">
        <v>5558</v>
      </c>
      <c r="G140" s="58" t="s">
        <v>65</v>
      </c>
    </row>
    <row r="141" spans="1:7">
      <c r="A141" s="59" t="s">
        <v>498</v>
      </c>
      <c r="B141" s="60" t="s">
        <v>118</v>
      </c>
      <c r="C141" s="60">
        <v>2</v>
      </c>
      <c r="D141" s="60">
        <v>7805</v>
      </c>
      <c r="E141" s="60">
        <v>15</v>
      </c>
      <c r="F141" s="60">
        <v>13268.5</v>
      </c>
      <c r="G141" s="61" t="s">
        <v>61</v>
      </c>
    </row>
    <row r="142" spans="1:7">
      <c r="A142" s="56" t="s">
        <v>501</v>
      </c>
      <c r="B142" s="57" t="s">
        <v>190</v>
      </c>
      <c r="C142" s="57">
        <v>5</v>
      </c>
      <c r="D142" s="57">
        <v>1727</v>
      </c>
      <c r="E142" s="57">
        <v>15</v>
      </c>
      <c r="F142" s="57">
        <v>7339.75</v>
      </c>
      <c r="G142" s="58" t="s">
        <v>65</v>
      </c>
    </row>
    <row r="143" spans="1:7">
      <c r="A143" s="59" t="s">
        <v>504</v>
      </c>
      <c r="B143" s="60" t="s">
        <v>190</v>
      </c>
      <c r="C143" s="60">
        <v>5</v>
      </c>
      <c r="D143" s="60">
        <v>739</v>
      </c>
      <c r="E143" s="60">
        <v>0</v>
      </c>
      <c r="F143" s="60">
        <v>3695</v>
      </c>
      <c r="G143" s="61" t="s">
        <v>65</v>
      </c>
    </row>
    <row r="144" spans="1:7">
      <c r="A144" s="56" t="s">
        <v>507</v>
      </c>
      <c r="B144" s="57" t="s">
        <v>71</v>
      </c>
      <c r="C144" s="57">
        <v>2</v>
      </c>
      <c r="D144" s="57">
        <v>5273</v>
      </c>
      <c r="E144" s="57">
        <v>15</v>
      </c>
      <c r="F144" s="57">
        <v>8964.1</v>
      </c>
      <c r="G144" s="58" t="s">
        <v>32</v>
      </c>
    </row>
    <row r="145" spans="1:7">
      <c r="A145" s="59" t="s">
        <v>510</v>
      </c>
      <c r="B145" s="60" t="s">
        <v>171</v>
      </c>
      <c r="C145" s="60">
        <v>3</v>
      </c>
      <c r="D145" s="60">
        <v>4769</v>
      </c>
      <c r="E145" s="60">
        <v>20</v>
      </c>
      <c r="F145" s="60">
        <v>11445.6</v>
      </c>
      <c r="G145" s="61" t="s">
        <v>61</v>
      </c>
    </row>
    <row r="146" spans="1:7">
      <c r="A146" s="56" t="s">
        <v>513</v>
      </c>
      <c r="B146" s="57" t="s">
        <v>171</v>
      </c>
      <c r="C146" s="57">
        <v>5</v>
      </c>
      <c r="D146" s="57">
        <v>6803</v>
      </c>
      <c r="E146" s="57">
        <v>0</v>
      </c>
      <c r="F146" s="57">
        <v>34015</v>
      </c>
      <c r="G146" s="58" t="s">
        <v>61</v>
      </c>
    </row>
    <row r="147" spans="1:7">
      <c r="A147" s="59" t="s">
        <v>516</v>
      </c>
      <c r="B147" s="60" t="s">
        <v>31</v>
      </c>
      <c r="C147" s="60">
        <v>5</v>
      </c>
      <c r="D147" s="60">
        <v>1023</v>
      </c>
      <c r="E147" s="60">
        <v>5</v>
      </c>
      <c r="F147" s="60">
        <v>4859.25</v>
      </c>
      <c r="G147" s="61" t="s">
        <v>61</v>
      </c>
    </row>
    <row r="148" spans="1:7">
      <c r="A148" s="56" t="s">
        <v>519</v>
      </c>
      <c r="B148" s="57" t="s">
        <v>197</v>
      </c>
      <c r="C148" s="57">
        <v>1</v>
      </c>
      <c r="D148" s="57">
        <v>969</v>
      </c>
      <c r="E148" s="57">
        <v>10</v>
      </c>
      <c r="F148" s="57">
        <v>872.1</v>
      </c>
      <c r="G148" s="58" t="s">
        <v>32</v>
      </c>
    </row>
    <row r="149" spans="1:7">
      <c r="A149" s="59" t="s">
        <v>522</v>
      </c>
      <c r="B149" s="60" t="s">
        <v>190</v>
      </c>
      <c r="C149" s="60">
        <v>5</v>
      </c>
      <c r="D149" s="60">
        <v>6136</v>
      </c>
      <c r="E149" s="60">
        <v>10</v>
      </c>
      <c r="F149" s="60">
        <v>27612</v>
      </c>
      <c r="G149" s="61" t="s">
        <v>32</v>
      </c>
    </row>
    <row r="150" spans="1:7">
      <c r="A150" s="56" t="s">
        <v>525</v>
      </c>
      <c r="B150" s="57" t="s">
        <v>110</v>
      </c>
      <c r="C150" s="57">
        <v>2</v>
      </c>
      <c r="D150" s="57">
        <v>4813</v>
      </c>
      <c r="E150" s="57">
        <v>0</v>
      </c>
      <c r="F150" s="57">
        <v>9626</v>
      </c>
      <c r="G150" s="58" t="s">
        <v>23</v>
      </c>
    </row>
    <row r="151" ht="15.75" spans="1:7">
      <c r="A151" s="70" t="s">
        <v>528</v>
      </c>
      <c r="B151" s="71" t="s">
        <v>92</v>
      </c>
      <c r="C151" s="71">
        <v>1</v>
      </c>
      <c r="D151" s="71">
        <v>541</v>
      </c>
      <c r="E151" s="71">
        <v>15</v>
      </c>
      <c r="F151" s="71">
        <v>459.85</v>
      </c>
      <c r="G151" s="72" t="s">
        <v>32</v>
      </c>
    </row>
  </sheetData>
  <autoFilter xmlns:etc="http://www.wps.cn/officeDocument/2017/etCustomData" ref="A1:G151" etc:filterBottomFollowUsedRange="0">
    <extLst/>
  </autoFilter>
  <mergeCells count="3">
    <mergeCell ref="I4:O5"/>
    <mergeCell ref="I12:N13"/>
    <mergeCell ref="I19:N2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1"/>
  <sheetViews>
    <sheetView topLeftCell="M1" workbookViewId="0">
      <selection activeCell="O21" sqref="A2:O151"/>
    </sheetView>
  </sheetViews>
  <sheetFormatPr defaultColWidth="9.14285714285714" defaultRowHeight="15"/>
  <cols>
    <col min="1" max="1" width="9.57142857142857" customWidth="1"/>
    <col min="2" max="2" width="12.1428571428571" style="16" customWidth="1"/>
    <col min="3" max="3" width="13.4285714285714" customWidth="1"/>
    <col min="4" max="4" width="17.2857142857143" customWidth="1"/>
    <col min="5" max="5" width="8.28571428571429" customWidth="1"/>
    <col min="6" max="6" width="5" customWidth="1"/>
    <col min="7" max="7" width="12.5714285714286" customWidth="1"/>
    <col min="8" max="8" width="16.8571428571429" customWidth="1"/>
    <col min="9" max="9" width="18.1428571428571" customWidth="1"/>
    <col min="10" max="10" width="19" customWidth="1"/>
    <col min="11" max="11" width="9.28571428571429" customWidth="1"/>
    <col min="12" max="12" width="11" customWidth="1"/>
    <col min="13" max="13" width="13" customWidth="1"/>
    <col min="14" max="14" width="14.8571428571429" customWidth="1"/>
    <col min="15" max="15" width="16.4285714285714" customWidth="1"/>
    <col min="17" max="17" width="9" customWidth="1"/>
    <col min="18" max="18" width="11.4285714285714" customWidth="1"/>
    <col min="19" max="19" width="12.7142857142857" customWidth="1"/>
    <col min="20" max="20" width="16.5714285714286" customWidth="1"/>
    <col min="21" max="21" width="8.28571428571429" customWidth="1"/>
    <col min="22" max="22" width="5" customWidth="1"/>
    <col min="23" max="23" width="12.5714285714286" customWidth="1"/>
    <col min="24" max="24" width="16.8571428571429" customWidth="1"/>
    <col min="25" max="25" width="17.5714285714286" customWidth="1"/>
    <col min="26" max="26" width="19" customWidth="1"/>
    <col min="27" max="27" width="9.28571428571429" customWidth="1"/>
    <col min="28" max="28" width="10.2857142857143" customWidth="1"/>
    <col min="29" max="29" width="13" customWidth="1"/>
    <col min="30" max="30" width="14.1428571428571" customWidth="1"/>
    <col min="31" max="31" width="15.7142857142857" customWidth="1"/>
  </cols>
  <sheetData>
    <row r="1" ht="15.75" spans="1:15">
      <c r="A1" t="s">
        <v>0</v>
      </c>
      <c r="B1" s="16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7" t="s">
        <v>492</v>
      </c>
      <c r="B2" s="18" t="s">
        <v>493</v>
      </c>
      <c r="C2" s="19" t="s">
        <v>494</v>
      </c>
      <c r="D2" s="19" t="s">
        <v>75</v>
      </c>
      <c r="E2" s="19" t="s">
        <v>19</v>
      </c>
      <c r="F2" s="19">
        <v>42</v>
      </c>
      <c r="G2" s="19" t="s">
        <v>70</v>
      </c>
      <c r="H2" s="19" t="s">
        <v>70</v>
      </c>
      <c r="I2" s="19" t="s">
        <v>21</v>
      </c>
      <c r="J2" s="19" t="s">
        <v>129</v>
      </c>
      <c r="K2" s="19">
        <v>5</v>
      </c>
      <c r="L2" s="19">
        <v>7873</v>
      </c>
      <c r="M2" s="19">
        <v>5</v>
      </c>
      <c r="N2" s="19">
        <v>37396.75</v>
      </c>
      <c r="O2" s="21" t="s">
        <v>32</v>
      </c>
    </row>
    <row r="3" spans="1:15">
      <c r="A3" s="20" t="s">
        <v>278</v>
      </c>
      <c r="B3" s="16" t="s">
        <v>279</v>
      </c>
      <c r="C3" t="s">
        <v>280</v>
      </c>
      <c r="D3" t="s">
        <v>80</v>
      </c>
      <c r="E3" t="s">
        <v>19</v>
      </c>
      <c r="F3">
        <v>46</v>
      </c>
      <c r="G3" t="s">
        <v>50</v>
      </c>
      <c r="H3" t="s">
        <v>51</v>
      </c>
      <c r="I3" t="s">
        <v>21</v>
      </c>
      <c r="J3" t="s">
        <v>22</v>
      </c>
      <c r="K3">
        <v>5</v>
      </c>
      <c r="L3">
        <v>7448</v>
      </c>
      <c r="M3">
        <v>0</v>
      </c>
      <c r="N3">
        <v>37240</v>
      </c>
      <c r="O3" s="22" t="s">
        <v>32</v>
      </c>
    </row>
    <row r="4" spans="1:21">
      <c r="A4" s="20" t="s">
        <v>232</v>
      </c>
      <c r="B4" s="16" t="s">
        <v>233</v>
      </c>
      <c r="C4" t="s">
        <v>234</v>
      </c>
      <c r="D4" t="s">
        <v>114</v>
      </c>
      <c r="E4" t="s">
        <v>37</v>
      </c>
      <c r="F4">
        <v>27</v>
      </c>
      <c r="G4" t="s">
        <v>70</v>
      </c>
      <c r="H4" t="s">
        <v>70</v>
      </c>
      <c r="I4" t="s">
        <v>83</v>
      </c>
      <c r="J4" t="s">
        <v>92</v>
      </c>
      <c r="K4">
        <v>5</v>
      </c>
      <c r="L4">
        <v>6912</v>
      </c>
      <c r="M4">
        <v>0</v>
      </c>
      <c r="N4">
        <v>34560</v>
      </c>
      <c r="O4" s="22" t="s">
        <v>23</v>
      </c>
      <c r="Q4" s="23" t="s">
        <v>542</v>
      </c>
      <c r="R4" s="24"/>
      <c r="S4" s="24"/>
      <c r="T4" s="24"/>
      <c r="U4" s="25"/>
    </row>
    <row r="5" spans="1:21">
      <c r="A5" s="20" t="s">
        <v>513</v>
      </c>
      <c r="B5" s="16" t="s">
        <v>514</v>
      </c>
      <c r="C5" t="s">
        <v>515</v>
      </c>
      <c r="D5" t="s">
        <v>105</v>
      </c>
      <c r="E5" t="s">
        <v>37</v>
      </c>
      <c r="F5">
        <v>45</v>
      </c>
      <c r="G5" t="s">
        <v>140</v>
      </c>
      <c r="H5" t="s">
        <v>141</v>
      </c>
      <c r="I5" t="s">
        <v>59</v>
      </c>
      <c r="J5" t="s">
        <v>171</v>
      </c>
      <c r="K5">
        <v>5</v>
      </c>
      <c r="L5">
        <v>6803</v>
      </c>
      <c r="M5">
        <v>0</v>
      </c>
      <c r="N5">
        <v>34015</v>
      </c>
      <c r="O5" s="22" t="s">
        <v>61</v>
      </c>
      <c r="Q5" s="26"/>
      <c r="R5" s="27"/>
      <c r="S5" s="27"/>
      <c r="T5" s="27"/>
      <c r="U5" s="28"/>
    </row>
    <row r="6" spans="1:18">
      <c r="A6" s="20" t="s">
        <v>88</v>
      </c>
      <c r="B6" s="16" t="s">
        <v>89</v>
      </c>
      <c r="C6" t="s">
        <v>90</v>
      </c>
      <c r="D6" t="s">
        <v>91</v>
      </c>
      <c r="E6" t="s">
        <v>37</v>
      </c>
      <c r="F6">
        <v>44</v>
      </c>
      <c r="G6" t="s">
        <v>81</v>
      </c>
      <c r="H6" t="s">
        <v>82</v>
      </c>
      <c r="I6" t="s">
        <v>83</v>
      </c>
      <c r="J6" t="s">
        <v>92</v>
      </c>
      <c r="K6">
        <v>5</v>
      </c>
      <c r="L6">
        <v>7377</v>
      </c>
      <c r="M6">
        <v>10</v>
      </c>
      <c r="N6">
        <v>33196.5</v>
      </c>
      <c r="O6" s="22" t="s">
        <v>23</v>
      </c>
      <c r="Q6" s="29"/>
      <c r="R6" s="30"/>
    </row>
    <row r="7" spans="1:19">
      <c r="A7" s="20" t="s">
        <v>293</v>
      </c>
      <c r="B7" s="16" t="s">
        <v>294</v>
      </c>
      <c r="C7" t="s">
        <v>295</v>
      </c>
      <c r="D7" t="s">
        <v>105</v>
      </c>
      <c r="E7" t="s">
        <v>37</v>
      </c>
      <c r="F7">
        <v>36</v>
      </c>
      <c r="G7" t="s">
        <v>140</v>
      </c>
      <c r="H7" t="s">
        <v>141</v>
      </c>
      <c r="I7" t="s">
        <v>59</v>
      </c>
      <c r="J7" t="s">
        <v>110</v>
      </c>
      <c r="K7">
        <v>5</v>
      </c>
      <c r="L7">
        <v>6616</v>
      </c>
      <c r="M7">
        <v>0</v>
      </c>
      <c r="N7">
        <v>33080</v>
      </c>
      <c r="O7" s="22" t="s">
        <v>61</v>
      </c>
      <c r="Q7" s="31" t="s">
        <v>543</v>
      </c>
      <c r="R7" s="32"/>
      <c r="S7" s="33"/>
    </row>
    <row r="8" spans="1:19">
      <c r="A8" s="20" t="s">
        <v>198</v>
      </c>
      <c r="B8" s="16" t="s">
        <v>199</v>
      </c>
      <c r="C8" t="s">
        <v>200</v>
      </c>
      <c r="D8" t="s">
        <v>149</v>
      </c>
      <c r="E8" t="s">
        <v>37</v>
      </c>
      <c r="F8">
        <v>32</v>
      </c>
      <c r="G8" t="s">
        <v>57</v>
      </c>
      <c r="H8" t="s">
        <v>58</v>
      </c>
      <c r="I8" t="s">
        <v>83</v>
      </c>
      <c r="J8" t="s">
        <v>164</v>
      </c>
      <c r="K8">
        <v>5</v>
      </c>
      <c r="L8">
        <v>6474</v>
      </c>
      <c r="M8">
        <v>10</v>
      </c>
      <c r="N8">
        <v>29133</v>
      </c>
      <c r="O8" s="22" t="s">
        <v>32</v>
      </c>
      <c r="Q8" s="34" t="s">
        <v>544</v>
      </c>
      <c r="R8" s="35"/>
      <c r="S8" s="36"/>
    </row>
    <row r="9" spans="1:19">
      <c r="A9" s="20" t="s">
        <v>172</v>
      </c>
      <c r="B9" s="16" t="s">
        <v>173</v>
      </c>
      <c r="C9" t="s">
        <v>174</v>
      </c>
      <c r="D9" t="s">
        <v>56</v>
      </c>
      <c r="E9" t="s">
        <v>37</v>
      </c>
      <c r="F9">
        <v>49</v>
      </c>
      <c r="G9" t="s">
        <v>140</v>
      </c>
      <c r="H9" t="s">
        <v>141</v>
      </c>
      <c r="I9" t="s">
        <v>21</v>
      </c>
      <c r="J9" t="s">
        <v>22</v>
      </c>
      <c r="K9">
        <v>5</v>
      </c>
      <c r="L9">
        <v>6440</v>
      </c>
      <c r="M9">
        <v>10</v>
      </c>
      <c r="N9">
        <v>28980</v>
      </c>
      <c r="O9" s="22" t="s">
        <v>65</v>
      </c>
      <c r="Q9" s="34"/>
      <c r="R9" s="35"/>
      <c r="S9" s="36"/>
    </row>
    <row r="10" ht="30" spans="1:19">
      <c r="A10" s="20" t="s">
        <v>381</v>
      </c>
      <c r="B10" s="16" t="s">
        <v>382</v>
      </c>
      <c r="C10" t="s">
        <v>383</v>
      </c>
      <c r="D10" t="s">
        <v>75</v>
      </c>
      <c r="E10" t="s">
        <v>19</v>
      </c>
      <c r="F10">
        <v>34</v>
      </c>
      <c r="G10" t="s">
        <v>140</v>
      </c>
      <c r="H10" t="s">
        <v>141</v>
      </c>
      <c r="I10" t="s">
        <v>30</v>
      </c>
      <c r="J10" t="s">
        <v>45</v>
      </c>
      <c r="K10">
        <v>5</v>
      </c>
      <c r="L10">
        <v>6410</v>
      </c>
      <c r="M10">
        <v>10</v>
      </c>
      <c r="N10">
        <v>28845</v>
      </c>
      <c r="O10" s="22" t="s">
        <v>32</v>
      </c>
      <c r="Q10" s="37" t="s">
        <v>545</v>
      </c>
      <c r="R10" s="38"/>
      <c r="S10" s="39"/>
    </row>
    <row r="11" spans="1:19">
      <c r="A11" s="20" t="s">
        <v>241</v>
      </c>
      <c r="B11" s="16" t="s">
        <v>242</v>
      </c>
      <c r="C11" t="s">
        <v>243</v>
      </c>
      <c r="D11" t="s">
        <v>114</v>
      </c>
      <c r="E11" t="s">
        <v>37</v>
      </c>
      <c r="F11">
        <v>46</v>
      </c>
      <c r="G11" t="s">
        <v>70</v>
      </c>
      <c r="H11" t="s">
        <v>70</v>
      </c>
      <c r="I11" t="s">
        <v>59</v>
      </c>
      <c r="J11" t="s">
        <v>60</v>
      </c>
      <c r="K11">
        <v>5</v>
      </c>
      <c r="L11">
        <v>7192</v>
      </c>
      <c r="M11">
        <v>20</v>
      </c>
      <c r="N11">
        <v>28768</v>
      </c>
      <c r="O11" s="22" t="s">
        <v>32</v>
      </c>
      <c r="Q11" s="40" t="s">
        <v>546</v>
      </c>
      <c r="R11" s="41"/>
      <c r="S11" s="42"/>
    </row>
    <row r="12" spans="1:19">
      <c r="A12" s="20" t="s">
        <v>269</v>
      </c>
      <c r="B12" s="16" t="s">
        <v>270</v>
      </c>
      <c r="C12" t="s">
        <v>271</v>
      </c>
      <c r="D12" t="s">
        <v>109</v>
      </c>
      <c r="E12" t="s">
        <v>19</v>
      </c>
      <c r="F12">
        <v>33</v>
      </c>
      <c r="G12" t="s">
        <v>140</v>
      </c>
      <c r="H12" t="s">
        <v>141</v>
      </c>
      <c r="I12" t="s">
        <v>21</v>
      </c>
      <c r="J12" t="s">
        <v>197</v>
      </c>
      <c r="K12">
        <v>5</v>
      </c>
      <c r="L12">
        <v>6014</v>
      </c>
      <c r="M12">
        <v>5</v>
      </c>
      <c r="N12">
        <v>28566.5</v>
      </c>
      <c r="O12" s="22" t="s">
        <v>23</v>
      </c>
      <c r="Q12" s="43"/>
      <c r="R12" s="43"/>
      <c r="S12" s="43"/>
    </row>
    <row r="13" spans="1:18">
      <c r="A13" s="20" t="s">
        <v>369</v>
      </c>
      <c r="B13" s="16" t="s">
        <v>370</v>
      </c>
      <c r="C13" t="s">
        <v>371</v>
      </c>
      <c r="D13" t="s">
        <v>163</v>
      </c>
      <c r="E13" t="s">
        <v>19</v>
      </c>
      <c r="F13">
        <v>44</v>
      </c>
      <c r="G13" t="s">
        <v>38</v>
      </c>
      <c r="H13" t="s">
        <v>39</v>
      </c>
      <c r="I13" t="s">
        <v>21</v>
      </c>
      <c r="J13" t="s">
        <v>129</v>
      </c>
      <c r="K13">
        <v>5</v>
      </c>
      <c r="L13">
        <v>6672</v>
      </c>
      <c r="M13">
        <v>15</v>
      </c>
      <c r="N13">
        <v>28356</v>
      </c>
      <c r="O13" s="22" t="s">
        <v>65</v>
      </c>
      <c r="Q13" s="30"/>
      <c r="R13" s="30"/>
    </row>
    <row r="14" spans="1:18">
      <c r="A14" s="20" t="s">
        <v>354</v>
      </c>
      <c r="B14" s="16" t="s">
        <v>355</v>
      </c>
      <c r="C14" t="s">
        <v>356</v>
      </c>
      <c r="D14" t="s">
        <v>109</v>
      </c>
      <c r="E14" t="s">
        <v>19</v>
      </c>
      <c r="F14">
        <v>37</v>
      </c>
      <c r="G14" t="s">
        <v>43</v>
      </c>
      <c r="H14" t="s">
        <v>44</v>
      </c>
      <c r="I14" t="s">
        <v>83</v>
      </c>
      <c r="J14" t="s">
        <v>133</v>
      </c>
      <c r="K14">
        <v>5</v>
      </c>
      <c r="L14">
        <v>6990</v>
      </c>
      <c r="M14">
        <v>20</v>
      </c>
      <c r="N14">
        <v>27960</v>
      </c>
      <c r="O14" s="22" t="s">
        <v>32</v>
      </c>
      <c r="Q14" s="30"/>
      <c r="R14" s="30"/>
    </row>
    <row r="15" spans="1:21">
      <c r="A15" s="20" t="s">
        <v>522</v>
      </c>
      <c r="B15" s="16" t="s">
        <v>523</v>
      </c>
      <c r="C15" t="s">
        <v>524</v>
      </c>
      <c r="D15" t="s">
        <v>18</v>
      </c>
      <c r="E15" t="s">
        <v>19</v>
      </c>
      <c r="F15">
        <v>28</v>
      </c>
      <c r="G15" t="s">
        <v>28</v>
      </c>
      <c r="H15" t="s">
        <v>29</v>
      </c>
      <c r="I15" t="s">
        <v>21</v>
      </c>
      <c r="J15" t="s">
        <v>190</v>
      </c>
      <c r="K15">
        <v>5</v>
      </c>
      <c r="L15">
        <v>6136</v>
      </c>
      <c r="M15">
        <v>10</v>
      </c>
      <c r="N15">
        <v>27612</v>
      </c>
      <c r="O15" s="22" t="s">
        <v>32</v>
      </c>
      <c r="Q15" s="23" t="s">
        <v>547</v>
      </c>
      <c r="R15" s="24"/>
      <c r="S15" s="24"/>
      <c r="T15" s="24"/>
      <c r="U15" s="25"/>
    </row>
    <row r="16" spans="1:22">
      <c r="A16" s="20" t="s">
        <v>366</v>
      </c>
      <c r="B16" s="16" t="s">
        <v>367</v>
      </c>
      <c r="C16" t="s">
        <v>368</v>
      </c>
      <c r="D16" t="s">
        <v>80</v>
      </c>
      <c r="E16" t="s">
        <v>19</v>
      </c>
      <c r="F16">
        <v>34</v>
      </c>
      <c r="G16" t="s">
        <v>70</v>
      </c>
      <c r="H16" t="s">
        <v>70</v>
      </c>
      <c r="I16" t="s">
        <v>21</v>
      </c>
      <c r="J16" t="s">
        <v>190</v>
      </c>
      <c r="K16">
        <v>5</v>
      </c>
      <c r="L16">
        <v>5635</v>
      </c>
      <c r="M16">
        <v>5</v>
      </c>
      <c r="N16">
        <v>26766.25</v>
      </c>
      <c r="O16" s="22" t="s">
        <v>61</v>
      </c>
      <c r="Q16" s="26"/>
      <c r="R16" s="27"/>
      <c r="S16" s="27"/>
      <c r="T16" s="27"/>
      <c r="U16" s="28"/>
      <c r="V16" s="44"/>
    </row>
    <row r="17" ht="15.75" spans="1:21">
      <c r="A17" s="20" t="s">
        <v>363</v>
      </c>
      <c r="B17" s="16" t="s">
        <v>364</v>
      </c>
      <c r="C17" t="s">
        <v>365</v>
      </c>
      <c r="D17" t="s">
        <v>80</v>
      </c>
      <c r="E17" t="s">
        <v>19</v>
      </c>
      <c r="F17">
        <v>37</v>
      </c>
      <c r="G17" t="s">
        <v>38</v>
      </c>
      <c r="H17" t="s">
        <v>39</v>
      </c>
      <c r="I17" t="s">
        <v>83</v>
      </c>
      <c r="J17" t="s">
        <v>164</v>
      </c>
      <c r="K17">
        <v>4</v>
      </c>
      <c r="L17">
        <v>6985</v>
      </c>
      <c r="M17">
        <v>5</v>
      </c>
      <c r="N17">
        <v>26543</v>
      </c>
      <c r="O17" s="22" t="s">
        <v>65</v>
      </c>
      <c r="Q17" s="45"/>
      <c r="R17" s="45"/>
      <c r="S17" s="45"/>
      <c r="T17" s="45"/>
      <c r="U17" s="45"/>
    </row>
    <row r="18" spans="1:31">
      <c r="A18" s="20" t="s">
        <v>168</v>
      </c>
      <c r="B18" s="16" t="s">
        <v>169</v>
      </c>
      <c r="C18" t="s">
        <v>170</v>
      </c>
      <c r="D18" t="s">
        <v>56</v>
      </c>
      <c r="E18" t="s">
        <v>37</v>
      </c>
      <c r="F18">
        <v>43</v>
      </c>
      <c r="G18" t="s">
        <v>43</v>
      </c>
      <c r="H18" t="s">
        <v>44</v>
      </c>
      <c r="I18" t="s">
        <v>59</v>
      </c>
      <c r="J18" t="s">
        <v>171</v>
      </c>
      <c r="K18">
        <v>5</v>
      </c>
      <c r="L18">
        <v>6436</v>
      </c>
      <c r="M18">
        <v>20</v>
      </c>
      <c r="N18">
        <v>25744</v>
      </c>
      <c r="O18" s="22" t="s">
        <v>61</v>
      </c>
      <c r="Q18" s="46" t="s">
        <v>0</v>
      </c>
      <c r="R18" s="47" t="s">
        <v>1</v>
      </c>
      <c r="S18" s="46" t="s">
        <v>2</v>
      </c>
      <c r="T18" s="46" t="s">
        <v>3</v>
      </c>
      <c r="U18" s="46" t="s">
        <v>4</v>
      </c>
      <c r="V18" s="46" t="s">
        <v>5</v>
      </c>
      <c r="W18" s="46" t="s">
        <v>6</v>
      </c>
      <c r="X18" s="46" t="s">
        <v>7</v>
      </c>
      <c r="Y18" s="46" t="s">
        <v>8</v>
      </c>
      <c r="Z18" s="46" t="s">
        <v>9</v>
      </c>
      <c r="AA18" s="46" t="s">
        <v>10</v>
      </c>
      <c r="AB18" s="46" t="s">
        <v>11</v>
      </c>
      <c r="AC18" s="46" t="s">
        <v>12</v>
      </c>
      <c r="AD18" s="46" t="s">
        <v>13</v>
      </c>
      <c r="AE18" s="46" t="s">
        <v>14</v>
      </c>
    </row>
    <row r="19" spans="1:31">
      <c r="A19" s="20" t="s">
        <v>438</v>
      </c>
      <c r="B19" s="16" t="s">
        <v>439</v>
      </c>
      <c r="C19" t="s">
        <v>440</v>
      </c>
      <c r="D19" t="s">
        <v>105</v>
      </c>
      <c r="E19" t="s">
        <v>37</v>
      </c>
      <c r="F19">
        <v>29</v>
      </c>
      <c r="G19" t="s">
        <v>38</v>
      </c>
      <c r="H19" t="s">
        <v>39</v>
      </c>
      <c r="I19" t="s">
        <v>59</v>
      </c>
      <c r="J19" t="s">
        <v>71</v>
      </c>
      <c r="K19">
        <v>5</v>
      </c>
      <c r="L19">
        <v>6057</v>
      </c>
      <c r="M19">
        <v>15</v>
      </c>
      <c r="N19">
        <v>25742.25</v>
      </c>
      <c r="O19" s="22" t="s">
        <v>32</v>
      </c>
      <c r="Q19" s="48" t="str" cm="1">
        <f t="array" ref="Q19:AE61">_xlfn._xlws.FILTER(A1:O151,O1:O151="UPI")</f>
        <v>R052</v>
      </c>
      <c r="R19" s="48" t="str">
        <v>22-02-2025</v>
      </c>
      <c r="S19" s="48" t="str">
        <v>C152</v>
      </c>
      <c r="T19" s="48" t="str">
        <v>Swati</v>
      </c>
      <c r="U19" s="48" t="str">
        <v>F</v>
      </c>
      <c r="V19" s="48">
        <v>27</v>
      </c>
      <c r="W19" s="48" t="str">
        <v>Chandigarh</v>
      </c>
      <c r="X19" s="48" t="str">
        <v>Chandigarh</v>
      </c>
      <c r="Y19" s="48" t="str">
        <v>Electronics</v>
      </c>
      <c r="Z19" s="48" t="str">
        <v>Smart Watch</v>
      </c>
      <c r="AA19" s="48">
        <v>5</v>
      </c>
      <c r="AB19" s="48">
        <v>6912</v>
      </c>
      <c r="AC19" s="48">
        <v>0</v>
      </c>
      <c r="AD19" s="48">
        <v>34560</v>
      </c>
      <c r="AE19" s="48" t="str">
        <v>UPI</v>
      </c>
    </row>
    <row r="20" spans="1:31">
      <c r="A20" s="20" t="s">
        <v>97</v>
      </c>
      <c r="B20" s="16" t="s">
        <v>98</v>
      </c>
      <c r="C20" t="s">
        <v>99</v>
      </c>
      <c r="D20" t="s">
        <v>69</v>
      </c>
      <c r="E20" t="s">
        <v>37</v>
      </c>
      <c r="F20">
        <v>28</v>
      </c>
      <c r="G20" t="s">
        <v>100</v>
      </c>
      <c r="H20" t="s">
        <v>101</v>
      </c>
      <c r="I20" t="s">
        <v>59</v>
      </c>
      <c r="J20" t="s">
        <v>71</v>
      </c>
      <c r="K20">
        <v>4</v>
      </c>
      <c r="L20">
        <v>6200</v>
      </c>
      <c r="M20">
        <v>0</v>
      </c>
      <c r="N20">
        <v>24800</v>
      </c>
      <c r="O20" s="22" t="s">
        <v>23</v>
      </c>
      <c r="Q20" s="48" t="str">
        <v>R012</v>
      </c>
      <c r="R20" s="48" t="str">
        <v>13-01-2025</v>
      </c>
      <c r="S20" s="48" t="str">
        <v>C112</v>
      </c>
      <c r="T20" s="48" t="str">
        <v>Priya</v>
      </c>
      <c r="U20" s="48" t="str">
        <v>F</v>
      </c>
      <c r="V20" s="48">
        <v>44</v>
      </c>
      <c r="W20" s="48" t="str">
        <v>Kolkata</v>
      </c>
      <c r="X20" s="48" t="str">
        <v>West Bengal</v>
      </c>
      <c r="Y20" s="48" t="str">
        <v>Electronics</v>
      </c>
      <c r="Z20" s="48" t="str">
        <v>Smart Watch</v>
      </c>
      <c r="AA20" s="48">
        <v>5</v>
      </c>
      <c r="AB20" s="48">
        <v>7377</v>
      </c>
      <c r="AC20" s="48">
        <v>10</v>
      </c>
      <c r="AD20" s="48">
        <v>33196.5</v>
      </c>
      <c r="AE20" s="48" t="str">
        <v>UPI</v>
      </c>
    </row>
    <row r="21" spans="1:31">
      <c r="A21" s="20" t="s">
        <v>357</v>
      </c>
      <c r="B21" s="16" t="s">
        <v>358</v>
      </c>
      <c r="C21" t="s">
        <v>359</v>
      </c>
      <c r="D21" t="s">
        <v>159</v>
      </c>
      <c r="E21" t="s">
        <v>19</v>
      </c>
      <c r="F21">
        <v>31</v>
      </c>
      <c r="G21" t="s">
        <v>50</v>
      </c>
      <c r="H21" t="s">
        <v>51</v>
      </c>
      <c r="I21" t="s">
        <v>30</v>
      </c>
      <c r="J21" t="s">
        <v>31</v>
      </c>
      <c r="K21">
        <v>5</v>
      </c>
      <c r="L21">
        <v>5364</v>
      </c>
      <c r="M21">
        <v>10</v>
      </c>
      <c r="N21">
        <v>24138</v>
      </c>
      <c r="O21" s="22" t="s">
        <v>65</v>
      </c>
      <c r="Q21" s="48" t="str">
        <v>R064</v>
      </c>
      <c r="R21" s="48" t="str">
        <v>06-03-2025</v>
      </c>
      <c r="S21" s="48" t="str">
        <v>C164</v>
      </c>
      <c r="T21" s="48" t="str">
        <v>Deepak</v>
      </c>
      <c r="U21" s="48" t="str">
        <v>M</v>
      </c>
      <c r="V21" s="48">
        <v>33</v>
      </c>
      <c r="W21" s="48" t="str">
        <v>Jaipur</v>
      </c>
      <c r="X21" s="48" t="str">
        <v>Rajasthan</v>
      </c>
      <c r="Y21" s="48" t="str">
        <v>Furniture</v>
      </c>
      <c r="Z21" s="48" t="str">
        <v>Bookshelf</v>
      </c>
      <c r="AA21" s="48">
        <v>5</v>
      </c>
      <c r="AB21" s="48">
        <v>6014</v>
      </c>
      <c r="AC21" s="48">
        <v>5</v>
      </c>
      <c r="AD21" s="48">
        <v>28566.5</v>
      </c>
      <c r="AE21" s="48" t="str">
        <v>UPI</v>
      </c>
    </row>
    <row r="22" spans="1:31">
      <c r="A22" s="20" t="s">
        <v>191</v>
      </c>
      <c r="B22" s="16" t="s">
        <v>192</v>
      </c>
      <c r="C22" t="s">
        <v>193</v>
      </c>
      <c r="D22" t="s">
        <v>125</v>
      </c>
      <c r="E22" t="s">
        <v>37</v>
      </c>
      <c r="F22">
        <v>25</v>
      </c>
      <c r="G22" t="s">
        <v>38</v>
      </c>
      <c r="H22" t="s">
        <v>39</v>
      </c>
      <c r="I22" t="s">
        <v>30</v>
      </c>
      <c r="J22" t="s">
        <v>76</v>
      </c>
      <c r="K22">
        <v>4</v>
      </c>
      <c r="L22">
        <v>7527</v>
      </c>
      <c r="M22">
        <v>20</v>
      </c>
      <c r="N22">
        <v>24086.4</v>
      </c>
      <c r="O22" s="22" t="s">
        <v>32</v>
      </c>
      <c r="Q22" s="48" t="str">
        <v>R014</v>
      </c>
      <c r="R22" s="48" t="str">
        <v>15-01-2025</v>
      </c>
      <c r="S22" s="48" t="str">
        <v>C114</v>
      </c>
      <c r="T22" s="48" t="str">
        <v>Pooja</v>
      </c>
      <c r="U22" s="48" t="str">
        <v>F</v>
      </c>
      <c r="V22" s="48">
        <v>28</v>
      </c>
      <c r="W22" s="48" t="str">
        <v>Patna</v>
      </c>
      <c r="X22" s="48" t="str">
        <v>Bihar</v>
      </c>
      <c r="Y22" s="48" t="str">
        <v>Groceries</v>
      </c>
      <c r="Z22" s="48" t="str">
        <v>Wheat Flour</v>
      </c>
      <c r="AA22" s="48">
        <v>4</v>
      </c>
      <c r="AB22" s="48">
        <v>6200</v>
      </c>
      <c r="AC22" s="48">
        <v>0</v>
      </c>
      <c r="AD22" s="48">
        <v>24800</v>
      </c>
      <c r="AE22" s="48" t="str">
        <v>UPI</v>
      </c>
    </row>
    <row r="23" spans="1:31">
      <c r="A23" s="20" t="s">
        <v>308</v>
      </c>
      <c r="B23" s="16" t="s">
        <v>309</v>
      </c>
      <c r="C23" t="s">
        <v>310</v>
      </c>
      <c r="D23" t="s">
        <v>125</v>
      </c>
      <c r="E23" t="s">
        <v>37</v>
      </c>
      <c r="F23">
        <v>22</v>
      </c>
      <c r="G23" t="s">
        <v>57</v>
      </c>
      <c r="H23" t="s">
        <v>58</v>
      </c>
      <c r="I23" t="s">
        <v>59</v>
      </c>
      <c r="J23" t="s">
        <v>110</v>
      </c>
      <c r="K23">
        <v>3</v>
      </c>
      <c r="L23">
        <v>7592</v>
      </c>
      <c r="M23">
        <v>0</v>
      </c>
      <c r="N23">
        <v>22776</v>
      </c>
      <c r="O23" s="22" t="s">
        <v>23</v>
      </c>
      <c r="Q23" s="48" t="str">
        <v>R077</v>
      </c>
      <c r="R23" s="48" t="str">
        <v>19-03-2025</v>
      </c>
      <c r="S23" s="48" t="str">
        <v>C177</v>
      </c>
      <c r="T23" s="48" t="str">
        <v>Kajal</v>
      </c>
      <c r="U23" s="48" t="str">
        <v>F</v>
      </c>
      <c r="V23" s="48">
        <v>22</v>
      </c>
      <c r="W23" s="48" t="str">
        <v>Bhopal</v>
      </c>
      <c r="X23" s="48" t="str">
        <v>Madhya Pradesh</v>
      </c>
      <c r="Y23" s="48" t="str">
        <v>Groceries</v>
      </c>
      <c r="Z23" s="48" t="str">
        <v>Cooking Oil</v>
      </c>
      <c r="AA23" s="48">
        <v>3</v>
      </c>
      <c r="AB23" s="48">
        <v>7592</v>
      </c>
      <c r="AC23" s="48">
        <v>0</v>
      </c>
      <c r="AD23" s="48">
        <v>22776</v>
      </c>
      <c r="AE23" s="48" t="str">
        <v>UPI</v>
      </c>
    </row>
    <row r="24" spans="1:31">
      <c r="A24" s="20" t="s">
        <v>93</v>
      </c>
      <c r="B24" s="16" t="s">
        <v>94</v>
      </c>
      <c r="C24" t="s">
        <v>95</v>
      </c>
      <c r="D24" t="s">
        <v>18</v>
      </c>
      <c r="E24" t="s">
        <v>19</v>
      </c>
      <c r="F24">
        <v>44</v>
      </c>
      <c r="G24" t="s">
        <v>28</v>
      </c>
      <c r="H24" t="s">
        <v>29</v>
      </c>
      <c r="I24" t="s">
        <v>30</v>
      </c>
      <c r="J24" t="s">
        <v>96</v>
      </c>
      <c r="K24">
        <v>4</v>
      </c>
      <c r="L24">
        <v>6272</v>
      </c>
      <c r="M24">
        <v>10</v>
      </c>
      <c r="N24">
        <v>22579.2</v>
      </c>
      <c r="O24" s="22" t="s">
        <v>65</v>
      </c>
      <c r="Q24" s="48" t="str">
        <v>R091</v>
      </c>
      <c r="R24" s="48" t="str">
        <v>02-04-2025</v>
      </c>
      <c r="S24" s="48" t="str">
        <v>C191</v>
      </c>
      <c r="T24" s="48" t="str">
        <v>Anita</v>
      </c>
      <c r="U24" s="48" t="str">
        <v>F</v>
      </c>
      <c r="V24" s="48">
        <v>25</v>
      </c>
      <c r="W24" s="48" t="str">
        <v>Ahmedabad</v>
      </c>
      <c r="X24" s="48" t="str">
        <v>Gujrat</v>
      </c>
      <c r="Y24" s="48" t="str">
        <v>Electronics</v>
      </c>
      <c r="Z24" s="48" t="str">
        <v>Bluetooth Speaker</v>
      </c>
      <c r="AA24" s="48">
        <v>4</v>
      </c>
      <c r="AB24" s="48">
        <v>5937</v>
      </c>
      <c r="AC24" s="48">
        <v>5</v>
      </c>
      <c r="AD24" s="48">
        <v>22560.6</v>
      </c>
      <c r="AE24" s="48" t="str">
        <v>UPI</v>
      </c>
    </row>
    <row r="25" spans="1:31">
      <c r="A25" s="20" t="s">
        <v>351</v>
      </c>
      <c r="B25" s="16" t="s">
        <v>352</v>
      </c>
      <c r="C25" t="s">
        <v>353</v>
      </c>
      <c r="D25" t="s">
        <v>36</v>
      </c>
      <c r="E25" t="s">
        <v>37</v>
      </c>
      <c r="F25">
        <v>25</v>
      </c>
      <c r="G25" t="s">
        <v>43</v>
      </c>
      <c r="H25" t="s">
        <v>44</v>
      </c>
      <c r="I25" t="s">
        <v>83</v>
      </c>
      <c r="J25" t="s">
        <v>164</v>
      </c>
      <c r="K25">
        <v>4</v>
      </c>
      <c r="L25">
        <v>5937</v>
      </c>
      <c r="M25">
        <v>5</v>
      </c>
      <c r="N25">
        <v>22560.6</v>
      </c>
      <c r="O25" s="22" t="s">
        <v>23</v>
      </c>
      <c r="Q25" s="48" t="str">
        <v>R118</v>
      </c>
      <c r="R25" s="48" t="str">
        <v>29-04-2025</v>
      </c>
      <c r="S25" s="48" t="str">
        <v>C218</v>
      </c>
      <c r="T25" s="48" t="str">
        <v>Sonali</v>
      </c>
      <c r="U25" s="48" t="str">
        <v>F</v>
      </c>
      <c r="V25" s="48">
        <v>44</v>
      </c>
      <c r="W25" s="48" t="str">
        <v>Bhopal</v>
      </c>
      <c r="X25" s="48" t="str">
        <v>Madhya Pradesh</v>
      </c>
      <c r="Y25" s="48" t="str">
        <v>Electronics</v>
      </c>
      <c r="Z25" s="48" t="str">
        <v>Headphones</v>
      </c>
      <c r="AA25" s="48">
        <v>3</v>
      </c>
      <c r="AB25" s="48">
        <v>7363</v>
      </c>
      <c r="AC25" s="48">
        <v>5</v>
      </c>
      <c r="AD25" s="48">
        <v>20984.55</v>
      </c>
      <c r="AE25" s="48" t="str">
        <v>UPI</v>
      </c>
    </row>
    <row r="26" spans="1:31">
      <c r="A26" s="20" t="s">
        <v>324</v>
      </c>
      <c r="B26" s="16" t="s">
        <v>325</v>
      </c>
      <c r="C26" t="s">
        <v>326</v>
      </c>
      <c r="D26" t="s">
        <v>163</v>
      </c>
      <c r="E26" t="s">
        <v>19</v>
      </c>
      <c r="F26">
        <v>21</v>
      </c>
      <c r="G26" t="s">
        <v>38</v>
      </c>
      <c r="H26" t="s">
        <v>39</v>
      </c>
      <c r="I26" t="s">
        <v>59</v>
      </c>
      <c r="J26" t="s">
        <v>171</v>
      </c>
      <c r="K26">
        <v>3</v>
      </c>
      <c r="L26">
        <v>7598</v>
      </c>
      <c r="M26">
        <v>5</v>
      </c>
      <c r="N26">
        <v>21654.3</v>
      </c>
      <c r="O26" s="22" t="s">
        <v>32</v>
      </c>
      <c r="Q26" s="48" t="str">
        <v>R099</v>
      </c>
      <c r="R26" s="48" t="str">
        <v>10-04-2025</v>
      </c>
      <c r="S26" s="48" t="str">
        <v>C199</v>
      </c>
      <c r="T26" s="48" t="str">
        <v>Amit</v>
      </c>
      <c r="U26" s="48" t="str">
        <v>M</v>
      </c>
      <c r="V26" s="48">
        <v>35</v>
      </c>
      <c r="W26" s="48" t="str">
        <v>Bhopal</v>
      </c>
      <c r="X26" s="48" t="str">
        <v>Madhya Pradesh</v>
      </c>
      <c r="Y26" s="48" t="str">
        <v>Clothing</v>
      </c>
      <c r="Z26" s="48" t="str">
        <v>Kurti</v>
      </c>
      <c r="AA26" s="48">
        <v>3</v>
      </c>
      <c r="AB26" s="48">
        <v>7683</v>
      </c>
      <c r="AC26" s="48">
        <v>20</v>
      </c>
      <c r="AD26" s="48">
        <v>18439.2</v>
      </c>
      <c r="AE26" s="48" t="str">
        <v>UPI</v>
      </c>
    </row>
    <row r="27" spans="1:31">
      <c r="A27" s="20" t="s">
        <v>432</v>
      </c>
      <c r="B27" s="16" t="s">
        <v>433</v>
      </c>
      <c r="C27" t="s">
        <v>434</v>
      </c>
      <c r="D27" t="s">
        <v>204</v>
      </c>
      <c r="E27" t="s">
        <v>37</v>
      </c>
      <c r="F27">
        <v>44</v>
      </c>
      <c r="G27" t="s">
        <v>57</v>
      </c>
      <c r="H27" t="s">
        <v>58</v>
      </c>
      <c r="I27" t="s">
        <v>83</v>
      </c>
      <c r="J27" t="s">
        <v>133</v>
      </c>
      <c r="K27">
        <v>3</v>
      </c>
      <c r="L27">
        <v>7363</v>
      </c>
      <c r="M27">
        <v>5</v>
      </c>
      <c r="N27">
        <v>20984.55</v>
      </c>
      <c r="O27" s="22" t="s">
        <v>23</v>
      </c>
      <c r="Q27" s="48" t="str">
        <v>R126</v>
      </c>
      <c r="R27" s="48" t="str">
        <v>07-05-2025</v>
      </c>
      <c r="S27" s="48" t="str">
        <v>C226</v>
      </c>
      <c r="T27" s="48" t="str">
        <v>Vikram</v>
      </c>
      <c r="U27" s="48" t="str">
        <v>M</v>
      </c>
      <c r="V27" s="48">
        <v>38</v>
      </c>
      <c r="W27" s="48" t="str">
        <v>Lucknow</v>
      </c>
      <c r="X27" s="48" t="str">
        <v>Uttar Pradesh</v>
      </c>
      <c r="Y27" s="48" t="str">
        <v>Furniture</v>
      </c>
      <c r="Z27" s="48" t="str">
        <v>Bookshelf</v>
      </c>
      <c r="AA27" s="48">
        <v>3</v>
      </c>
      <c r="AB27" s="48">
        <v>6295</v>
      </c>
      <c r="AC27" s="48">
        <v>5</v>
      </c>
      <c r="AD27" s="48">
        <v>17940.75</v>
      </c>
      <c r="AE27" s="48" t="str">
        <v>UPI</v>
      </c>
    </row>
    <row r="28" spans="1:31">
      <c r="A28" s="20" t="s">
        <v>330</v>
      </c>
      <c r="B28" s="16" t="s">
        <v>331</v>
      </c>
      <c r="C28" t="s">
        <v>332</v>
      </c>
      <c r="D28" t="s">
        <v>114</v>
      </c>
      <c r="E28" t="s">
        <v>37</v>
      </c>
      <c r="F28">
        <v>43</v>
      </c>
      <c r="G28" t="s">
        <v>81</v>
      </c>
      <c r="H28" t="s">
        <v>82</v>
      </c>
      <c r="I28" t="s">
        <v>30</v>
      </c>
      <c r="J28" t="s">
        <v>76</v>
      </c>
      <c r="K28">
        <v>4</v>
      </c>
      <c r="L28">
        <v>6171</v>
      </c>
      <c r="M28">
        <v>15</v>
      </c>
      <c r="N28">
        <v>20981.4</v>
      </c>
      <c r="O28" s="22" t="s">
        <v>65</v>
      </c>
      <c r="Q28" s="48" t="str">
        <v>R015</v>
      </c>
      <c r="R28" s="48" t="str">
        <v>16-01-2025</v>
      </c>
      <c r="S28" s="48" t="str">
        <v>C115</v>
      </c>
      <c r="T28" s="48" t="str">
        <v>Meena</v>
      </c>
      <c r="U28" s="48" t="str">
        <v>F</v>
      </c>
      <c r="V28" s="48">
        <v>38</v>
      </c>
      <c r="W28" s="48" t="str">
        <v>Ahmedabad</v>
      </c>
      <c r="X28" s="48" t="str">
        <v>Gujrat</v>
      </c>
      <c r="Y28" s="48" t="str">
        <v>Electronics</v>
      </c>
      <c r="Z28" s="48" t="str">
        <v>Smart Watch</v>
      </c>
      <c r="AA28" s="48">
        <v>4</v>
      </c>
      <c r="AB28" s="48">
        <v>5435</v>
      </c>
      <c r="AC28" s="48">
        <v>20</v>
      </c>
      <c r="AD28" s="48">
        <v>17392</v>
      </c>
      <c r="AE28" s="48" t="str">
        <v>UPI</v>
      </c>
    </row>
    <row r="29" spans="1:31">
      <c r="A29" s="20" t="s">
        <v>465</v>
      </c>
      <c r="B29" s="16" t="s">
        <v>466</v>
      </c>
      <c r="C29" t="s">
        <v>467</v>
      </c>
      <c r="D29" t="s">
        <v>204</v>
      </c>
      <c r="E29" t="s">
        <v>37</v>
      </c>
      <c r="F29">
        <v>27</v>
      </c>
      <c r="G29" t="s">
        <v>81</v>
      </c>
      <c r="H29" t="s">
        <v>82</v>
      </c>
      <c r="I29" t="s">
        <v>21</v>
      </c>
      <c r="J29" t="s">
        <v>190</v>
      </c>
      <c r="K29">
        <v>3</v>
      </c>
      <c r="L29">
        <v>6931</v>
      </c>
      <c r="M29">
        <v>0</v>
      </c>
      <c r="N29">
        <v>20793</v>
      </c>
      <c r="O29" s="22" t="s">
        <v>32</v>
      </c>
      <c r="Q29" s="48" t="str">
        <v>R109</v>
      </c>
      <c r="R29" s="48" t="str">
        <v>20-04-2025</v>
      </c>
      <c r="S29" s="48" t="str">
        <v>C209</v>
      </c>
      <c r="T29" s="48" t="str">
        <v>Sachin</v>
      </c>
      <c r="U29" s="48" t="str">
        <v>M</v>
      </c>
      <c r="V29" s="48">
        <v>46</v>
      </c>
      <c r="W29" s="48" t="str">
        <v>Jaipur</v>
      </c>
      <c r="X29" s="48" t="str">
        <v>Rajasthan</v>
      </c>
      <c r="Y29" s="48" t="str">
        <v>Groceries</v>
      </c>
      <c r="Z29" s="48" t="str">
        <v>Cooking Oil</v>
      </c>
      <c r="AA29" s="48">
        <v>3</v>
      </c>
      <c r="AB29" s="48">
        <v>5308</v>
      </c>
      <c r="AC29" s="48">
        <v>0</v>
      </c>
      <c r="AD29" s="48">
        <v>15924</v>
      </c>
      <c r="AE29" s="48" t="str">
        <v>UPI</v>
      </c>
    </row>
    <row r="30" spans="1:31">
      <c r="A30" s="20" t="s">
        <v>194</v>
      </c>
      <c r="B30" s="16" t="s">
        <v>195</v>
      </c>
      <c r="C30" t="s">
        <v>196</v>
      </c>
      <c r="D30" t="s">
        <v>114</v>
      </c>
      <c r="E30" t="s">
        <v>37</v>
      </c>
      <c r="F30">
        <v>39</v>
      </c>
      <c r="G30" t="s">
        <v>20</v>
      </c>
      <c r="H30" t="s">
        <v>20</v>
      </c>
      <c r="I30" t="s">
        <v>21</v>
      </c>
      <c r="J30" t="s">
        <v>197</v>
      </c>
      <c r="K30">
        <v>5</v>
      </c>
      <c r="L30">
        <v>4784</v>
      </c>
      <c r="M30">
        <v>15</v>
      </c>
      <c r="N30">
        <v>20332</v>
      </c>
      <c r="O30" s="22" t="s">
        <v>61</v>
      </c>
      <c r="Q30" s="48" t="str">
        <v>R070</v>
      </c>
      <c r="R30" s="48" t="str">
        <v>12-03-2025</v>
      </c>
      <c r="S30" s="48" t="str">
        <v>C170</v>
      </c>
      <c r="T30" s="48" t="str">
        <v>Vikram</v>
      </c>
      <c r="U30" s="48" t="str">
        <v>M</v>
      </c>
      <c r="V30" s="48">
        <v>48</v>
      </c>
      <c r="W30" s="48" t="str">
        <v>Chandigarh</v>
      </c>
      <c r="X30" s="48" t="str">
        <v>Chandigarh</v>
      </c>
      <c r="Y30" s="48" t="str">
        <v>Furniture</v>
      </c>
      <c r="Z30" s="48" t="str">
        <v>Study Table</v>
      </c>
      <c r="AA30" s="48">
        <v>3</v>
      </c>
      <c r="AB30" s="48">
        <v>6556</v>
      </c>
      <c r="AC30" s="48">
        <v>20</v>
      </c>
      <c r="AD30" s="48">
        <v>15734.4</v>
      </c>
      <c r="AE30" s="48" t="str">
        <v>UPI</v>
      </c>
    </row>
    <row r="31" spans="1:31">
      <c r="A31" s="20" t="s">
        <v>378</v>
      </c>
      <c r="B31" s="16" t="s">
        <v>379</v>
      </c>
      <c r="C31" t="s">
        <v>380</v>
      </c>
      <c r="D31" t="s">
        <v>320</v>
      </c>
      <c r="E31" t="s">
        <v>19</v>
      </c>
      <c r="F31">
        <v>45</v>
      </c>
      <c r="G31" t="s">
        <v>70</v>
      </c>
      <c r="H31" t="s">
        <v>70</v>
      </c>
      <c r="I31" t="s">
        <v>30</v>
      </c>
      <c r="J31" t="s">
        <v>96</v>
      </c>
      <c r="K31">
        <v>3</v>
      </c>
      <c r="L31">
        <v>6740</v>
      </c>
      <c r="M31">
        <v>0</v>
      </c>
      <c r="N31">
        <v>20220</v>
      </c>
      <c r="O31" s="22" t="s">
        <v>32</v>
      </c>
      <c r="Q31" s="48" t="str">
        <v>R009</v>
      </c>
      <c r="R31" s="48" t="str">
        <v>10-01-2025</v>
      </c>
      <c r="S31" s="48" t="str">
        <v>C109</v>
      </c>
      <c r="T31" s="48" t="str">
        <v>Manoj</v>
      </c>
      <c r="U31" s="48" t="str">
        <v>M</v>
      </c>
      <c r="V31" s="48">
        <v>48</v>
      </c>
      <c r="W31" s="48" t="str">
        <v>Chandigarh</v>
      </c>
      <c r="X31" s="48" t="str">
        <v>Chandigarh</v>
      </c>
      <c r="Y31" s="48" t="str">
        <v>Clothing</v>
      </c>
      <c r="Z31" s="48" t="str">
        <v>Jeans</v>
      </c>
      <c r="AA31" s="48">
        <v>4</v>
      </c>
      <c r="AB31" s="48">
        <v>4493</v>
      </c>
      <c r="AC31" s="48">
        <v>15</v>
      </c>
      <c r="AD31" s="48">
        <v>15276.2</v>
      </c>
      <c r="AE31" s="48" t="str">
        <v>UPI</v>
      </c>
    </row>
    <row r="32" spans="1:31">
      <c r="A32" s="20" t="s">
        <v>483</v>
      </c>
      <c r="B32" s="16" t="s">
        <v>484</v>
      </c>
      <c r="C32" t="s">
        <v>485</v>
      </c>
      <c r="D32" t="s">
        <v>159</v>
      </c>
      <c r="E32" t="s">
        <v>19</v>
      </c>
      <c r="F32">
        <v>36</v>
      </c>
      <c r="G32" t="s">
        <v>20</v>
      </c>
      <c r="H32" t="s">
        <v>20</v>
      </c>
      <c r="I32" t="s">
        <v>83</v>
      </c>
      <c r="J32" t="s">
        <v>84</v>
      </c>
      <c r="K32">
        <v>4</v>
      </c>
      <c r="L32">
        <v>5324</v>
      </c>
      <c r="M32">
        <v>10</v>
      </c>
      <c r="N32">
        <v>19166.4</v>
      </c>
      <c r="O32" s="22" t="s">
        <v>61</v>
      </c>
      <c r="Q32" s="48" t="str">
        <v>R134</v>
      </c>
      <c r="R32" s="48" t="str">
        <v>15-05-2025</v>
      </c>
      <c r="S32" s="48" t="str">
        <v>C234</v>
      </c>
      <c r="T32" s="48" t="str">
        <v>Arjun</v>
      </c>
      <c r="U32" s="48" t="str">
        <v>M</v>
      </c>
      <c r="V32" s="48">
        <v>40</v>
      </c>
      <c r="W32" s="48" t="str">
        <v>Lucknow</v>
      </c>
      <c r="X32" s="48" t="str">
        <v>Uttar Pradesh</v>
      </c>
      <c r="Y32" s="48" t="str">
        <v>Furniture</v>
      </c>
      <c r="Z32" s="48" t="str">
        <v>Office Chair</v>
      </c>
      <c r="AA32" s="48">
        <v>2</v>
      </c>
      <c r="AB32" s="48">
        <v>7516</v>
      </c>
      <c r="AC32" s="48">
        <v>15</v>
      </c>
      <c r="AD32" s="48">
        <v>12777.2</v>
      </c>
      <c r="AE32" s="48" t="str">
        <v>UPI</v>
      </c>
    </row>
    <row r="33" spans="1:31">
      <c r="A33" s="20" t="s">
        <v>122</v>
      </c>
      <c r="B33" s="16" t="s">
        <v>123</v>
      </c>
      <c r="C33" t="s">
        <v>124</v>
      </c>
      <c r="D33" t="s">
        <v>125</v>
      </c>
      <c r="E33" t="s">
        <v>37</v>
      </c>
      <c r="F33">
        <v>47</v>
      </c>
      <c r="G33" t="s">
        <v>70</v>
      </c>
      <c r="H33" t="s">
        <v>70</v>
      </c>
      <c r="I33" t="s">
        <v>83</v>
      </c>
      <c r="J33" t="s">
        <v>92</v>
      </c>
      <c r="K33">
        <v>3</v>
      </c>
      <c r="L33">
        <v>7309</v>
      </c>
      <c r="M33">
        <v>15</v>
      </c>
      <c r="N33">
        <v>18637.95</v>
      </c>
      <c r="O33" s="22" t="s">
        <v>65</v>
      </c>
      <c r="Q33" s="48" t="str">
        <v>R088</v>
      </c>
      <c r="R33" s="48" t="str">
        <v>30-03-2025</v>
      </c>
      <c r="S33" s="48" t="str">
        <v>C188</v>
      </c>
      <c r="T33" s="48" t="str">
        <v>Ritu</v>
      </c>
      <c r="U33" s="48" t="str">
        <v>F</v>
      </c>
      <c r="V33" s="48">
        <v>30</v>
      </c>
      <c r="W33" s="48" t="str">
        <v>Lucknow</v>
      </c>
      <c r="X33" s="48" t="str">
        <v>Uttar Pradesh</v>
      </c>
      <c r="Y33" s="48" t="str">
        <v>Groceries</v>
      </c>
      <c r="Z33" s="48" t="str">
        <v>Wheat Flour</v>
      </c>
      <c r="AA33" s="48">
        <v>2</v>
      </c>
      <c r="AB33" s="48">
        <v>6410</v>
      </c>
      <c r="AC33" s="48">
        <v>10</v>
      </c>
      <c r="AD33" s="48">
        <v>11538</v>
      </c>
      <c r="AE33" s="48" t="str">
        <v>UPI</v>
      </c>
    </row>
    <row r="34" spans="1:31">
      <c r="A34" s="20" t="s">
        <v>40</v>
      </c>
      <c r="B34" s="16" t="s">
        <v>41</v>
      </c>
      <c r="C34" t="s">
        <v>42</v>
      </c>
      <c r="D34" t="s">
        <v>27</v>
      </c>
      <c r="E34" t="s">
        <v>19</v>
      </c>
      <c r="F34">
        <v>20</v>
      </c>
      <c r="G34" t="s">
        <v>43</v>
      </c>
      <c r="H34" t="s">
        <v>44</v>
      </c>
      <c r="I34" t="s">
        <v>30</v>
      </c>
      <c r="J34" t="s">
        <v>45</v>
      </c>
      <c r="K34">
        <v>4</v>
      </c>
      <c r="L34">
        <v>4631</v>
      </c>
      <c r="M34">
        <v>0</v>
      </c>
      <c r="N34">
        <v>18524</v>
      </c>
      <c r="O34" s="22" t="s">
        <v>32</v>
      </c>
      <c r="Q34" s="48" t="str">
        <v>R114</v>
      </c>
      <c r="R34" s="48" t="str">
        <v>25-04-2025</v>
      </c>
      <c r="S34" s="48" t="str">
        <v>C214</v>
      </c>
      <c r="T34" s="48" t="str">
        <v>Neha</v>
      </c>
      <c r="U34" s="48" t="str">
        <v>F</v>
      </c>
      <c r="V34" s="48">
        <v>32</v>
      </c>
      <c r="W34" s="48" t="str">
        <v>Jaipur</v>
      </c>
      <c r="X34" s="48" t="str">
        <v>Rajasthan</v>
      </c>
      <c r="Y34" s="48" t="str">
        <v>Furniture</v>
      </c>
      <c r="Z34" s="48" t="str">
        <v>Bookshelf</v>
      </c>
      <c r="AA34" s="48">
        <v>4</v>
      </c>
      <c r="AB34" s="48">
        <v>2600</v>
      </c>
      <c r="AC34" s="48">
        <v>0</v>
      </c>
      <c r="AD34" s="48">
        <v>10400</v>
      </c>
      <c r="AE34" s="48" t="str">
        <v>UPI</v>
      </c>
    </row>
    <row r="35" spans="1:31">
      <c r="A35" s="20" t="s">
        <v>375</v>
      </c>
      <c r="B35" s="16" t="s">
        <v>376</v>
      </c>
      <c r="C35" t="s">
        <v>377</v>
      </c>
      <c r="D35" t="s">
        <v>163</v>
      </c>
      <c r="E35" t="s">
        <v>19</v>
      </c>
      <c r="F35">
        <v>35</v>
      </c>
      <c r="G35" t="s">
        <v>57</v>
      </c>
      <c r="H35" t="s">
        <v>58</v>
      </c>
      <c r="I35" t="s">
        <v>30</v>
      </c>
      <c r="J35" t="s">
        <v>96</v>
      </c>
      <c r="K35">
        <v>3</v>
      </c>
      <c r="L35">
        <v>7683</v>
      </c>
      <c r="M35">
        <v>20</v>
      </c>
      <c r="N35">
        <v>18439.2</v>
      </c>
      <c r="O35" s="22" t="s">
        <v>23</v>
      </c>
      <c r="Q35" s="48" t="str">
        <v>R035</v>
      </c>
      <c r="R35" s="48" t="str">
        <v>05-02-2025</v>
      </c>
      <c r="S35" s="48" t="str">
        <v>C135</v>
      </c>
      <c r="T35" s="48" t="str">
        <v>Pooja</v>
      </c>
      <c r="U35" s="48" t="str">
        <v>F</v>
      </c>
      <c r="V35" s="48">
        <v>39</v>
      </c>
      <c r="W35" s="48" t="str">
        <v>Mumbai</v>
      </c>
      <c r="X35" s="48" t="str">
        <v>Maharashtra</v>
      </c>
      <c r="Y35" s="48" t="str">
        <v>Furniture</v>
      </c>
      <c r="Z35" s="48" t="str">
        <v>Office Chair</v>
      </c>
      <c r="AA35" s="48">
        <v>3</v>
      </c>
      <c r="AB35" s="48">
        <v>3615</v>
      </c>
      <c r="AC35" s="48">
        <v>10</v>
      </c>
      <c r="AD35" s="48">
        <v>9760.5</v>
      </c>
      <c r="AE35" s="48" t="str">
        <v>UPI</v>
      </c>
    </row>
    <row r="36" spans="1:31">
      <c r="A36" s="20" t="s">
        <v>456</v>
      </c>
      <c r="B36" s="16" t="s">
        <v>457</v>
      </c>
      <c r="C36" t="s">
        <v>458</v>
      </c>
      <c r="D36" t="s">
        <v>159</v>
      </c>
      <c r="E36" t="s">
        <v>19</v>
      </c>
      <c r="F36">
        <v>38</v>
      </c>
      <c r="G36" t="s">
        <v>50</v>
      </c>
      <c r="H36" t="s">
        <v>51</v>
      </c>
      <c r="I36" t="s">
        <v>21</v>
      </c>
      <c r="J36" t="s">
        <v>197</v>
      </c>
      <c r="K36">
        <v>3</v>
      </c>
      <c r="L36">
        <v>6295</v>
      </c>
      <c r="M36">
        <v>5</v>
      </c>
      <c r="N36">
        <v>17940.75</v>
      </c>
      <c r="O36" s="22" t="s">
        <v>23</v>
      </c>
      <c r="Q36" s="48" t="str">
        <v>R149</v>
      </c>
      <c r="R36" s="48" t="str">
        <v>30-05-2025</v>
      </c>
      <c r="S36" s="48" t="str">
        <v>C249</v>
      </c>
      <c r="T36" s="48" t="str">
        <v>Priya</v>
      </c>
      <c r="U36" s="48" t="str">
        <v>F</v>
      </c>
      <c r="V36" s="48">
        <v>47</v>
      </c>
      <c r="W36" s="48" t="str">
        <v>Chandigarh</v>
      </c>
      <c r="X36" s="48" t="str">
        <v>Chandigarh</v>
      </c>
      <c r="Y36" s="48" t="str">
        <v>Groceries</v>
      </c>
      <c r="Z36" s="48" t="str">
        <v>Cooking Oil</v>
      </c>
      <c r="AA36" s="48">
        <v>2</v>
      </c>
      <c r="AB36" s="48">
        <v>4813</v>
      </c>
      <c r="AC36" s="48">
        <v>0</v>
      </c>
      <c r="AD36" s="48">
        <v>9626</v>
      </c>
      <c r="AE36" s="48" t="str">
        <v>UPI</v>
      </c>
    </row>
    <row r="37" spans="1:31">
      <c r="A37" s="20" t="s">
        <v>146</v>
      </c>
      <c r="B37" s="16" t="s">
        <v>147</v>
      </c>
      <c r="C37" t="s">
        <v>148</v>
      </c>
      <c r="D37" t="s">
        <v>149</v>
      </c>
      <c r="E37" t="s">
        <v>37</v>
      </c>
      <c r="F37">
        <v>36</v>
      </c>
      <c r="G37" t="s">
        <v>57</v>
      </c>
      <c r="H37" t="s">
        <v>58</v>
      </c>
      <c r="I37" t="s">
        <v>30</v>
      </c>
      <c r="J37" t="s">
        <v>52</v>
      </c>
      <c r="K37">
        <v>3</v>
      </c>
      <c r="L37">
        <v>5800</v>
      </c>
      <c r="M37">
        <v>0</v>
      </c>
      <c r="N37">
        <v>17400</v>
      </c>
      <c r="O37" s="22" t="s">
        <v>61</v>
      </c>
      <c r="Q37" s="48" t="str">
        <v>R122</v>
      </c>
      <c r="R37" s="48" t="str">
        <v>03-05-2025</v>
      </c>
      <c r="S37" s="48" t="str">
        <v>C222</v>
      </c>
      <c r="T37" s="48" t="str">
        <v>Swati</v>
      </c>
      <c r="U37" s="48" t="str">
        <v>F</v>
      </c>
      <c r="V37" s="48">
        <v>50</v>
      </c>
      <c r="W37" s="48" t="str">
        <v>Patna</v>
      </c>
      <c r="X37" s="48" t="str">
        <v>Bihar</v>
      </c>
      <c r="Y37" s="48" t="str">
        <v>Electronics</v>
      </c>
      <c r="Z37" s="48" t="str">
        <v>Power Bank</v>
      </c>
      <c r="AA37" s="48">
        <v>3</v>
      </c>
      <c r="AB37" s="48">
        <v>3804</v>
      </c>
      <c r="AC37" s="48">
        <v>20</v>
      </c>
      <c r="AD37" s="48">
        <v>9129.6</v>
      </c>
      <c r="AE37" s="48" t="str">
        <v>UPI</v>
      </c>
    </row>
    <row r="38" spans="1:31">
      <c r="A38" s="20" t="s">
        <v>102</v>
      </c>
      <c r="B38" s="16" t="s">
        <v>103</v>
      </c>
      <c r="C38" t="s">
        <v>104</v>
      </c>
      <c r="D38" t="s">
        <v>105</v>
      </c>
      <c r="E38" t="s">
        <v>37</v>
      </c>
      <c r="F38">
        <v>38</v>
      </c>
      <c r="G38" t="s">
        <v>43</v>
      </c>
      <c r="H38" t="s">
        <v>44</v>
      </c>
      <c r="I38" t="s">
        <v>83</v>
      </c>
      <c r="J38" t="s">
        <v>92</v>
      </c>
      <c r="K38">
        <v>4</v>
      </c>
      <c r="L38">
        <v>5435</v>
      </c>
      <c r="M38">
        <v>20</v>
      </c>
      <c r="N38">
        <v>17392</v>
      </c>
      <c r="O38" s="22" t="s">
        <v>23</v>
      </c>
      <c r="Q38" s="48" t="str">
        <v>R066</v>
      </c>
      <c r="R38" s="48" t="str">
        <v>08-03-2025</v>
      </c>
      <c r="S38" s="48" t="str">
        <v>C166</v>
      </c>
      <c r="T38" s="48" t="str">
        <v>Manoj</v>
      </c>
      <c r="U38" s="48" t="str">
        <v>M</v>
      </c>
      <c r="V38" s="48">
        <v>35</v>
      </c>
      <c r="W38" s="48" t="str">
        <v>Mumbai</v>
      </c>
      <c r="X38" s="48" t="str">
        <v>Maharashtra</v>
      </c>
      <c r="Y38" s="48" t="str">
        <v>Furniture</v>
      </c>
      <c r="Z38" s="48" t="str">
        <v>Bookshelf</v>
      </c>
      <c r="AA38" s="48">
        <v>3</v>
      </c>
      <c r="AB38" s="48">
        <v>2763</v>
      </c>
      <c r="AC38" s="48">
        <v>0</v>
      </c>
      <c r="AD38" s="48">
        <v>8289</v>
      </c>
      <c r="AE38" s="48" t="str">
        <v>UPI</v>
      </c>
    </row>
    <row r="39" spans="1:31">
      <c r="A39" s="20" t="s">
        <v>33</v>
      </c>
      <c r="B39" s="16" t="s">
        <v>34</v>
      </c>
      <c r="C39" t="s">
        <v>35</v>
      </c>
      <c r="D39" t="s">
        <v>36</v>
      </c>
      <c r="E39" t="s">
        <v>37</v>
      </c>
      <c r="F39">
        <v>25</v>
      </c>
      <c r="G39" t="s">
        <v>38</v>
      </c>
      <c r="H39" t="s">
        <v>39</v>
      </c>
      <c r="I39" t="s">
        <v>30</v>
      </c>
      <c r="J39" t="s">
        <v>31</v>
      </c>
      <c r="K39">
        <v>3</v>
      </c>
      <c r="L39">
        <v>5589</v>
      </c>
      <c r="M39">
        <v>0</v>
      </c>
      <c r="N39">
        <v>16767</v>
      </c>
      <c r="O39" s="22" t="s">
        <v>32</v>
      </c>
      <c r="Q39" s="48" t="str">
        <v>R116</v>
      </c>
      <c r="R39" s="48" t="str">
        <v>27-04-2025</v>
      </c>
      <c r="S39" s="48" t="str">
        <v>C216</v>
      </c>
      <c r="T39" s="48" t="str">
        <v>Arjun</v>
      </c>
      <c r="U39" s="48" t="str">
        <v>M</v>
      </c>
      <c r="V39" s="48">
        <v>32</v>
      </c>
      <c r="W39" s="48" t="str">
        <v>Jaipur</v>
      </c>
      <c r="X39" s="48" t="str">
        <v>Rajasthan</v>
      </c>
      <c r="Y39" s="48" t="str">
        <v>Electronics</v>
      </c>
      <c r="Z39" s="48" t="str">
        <v>Headphones</v>
      </c>
      <c r="AA39" s="48">
        <v>2</v>
      </c>
      <c r="AB39" s="48">
        <v>4117</v>
      </c>
      <c r="AC39" s="48">
        <v>0</v>
      </c>
      <c r="AD39" s="48">
        <v>8234</v>
      </c>
      <c r="AE39" s="48" t="str">
        <v>UPI</v>
      </c>
    </row>
    <row r="40" spans="1:31">
      <c r="A40" s="20" t="s">
        <v>201</v>
      </c>
      <c r="B40" s="16" t="s">
        <v>202</v>
      </c>
      <c r="C40" t="s">
        <v>203</v>
      </c>
      <c r="D40" t="s">
        <v>204</v>
      </c>
      <c r="E40" t="s">
        <v>37</v>
      </c>
      <c r="F40">
        <v>22</v>
      </c>
      <c r="G40" t="s">
        <v>57</v>
      </c>
      <c r="H40" t="s">
        <v>58</v>
      </c>
      <c r="I40" t="s">
        <v>30</v>
      </c>
      <c r="J40" t="s">
        <v>31</v>
      </c>
      <c r="K40">
        <v>5</v>
      </c>
      <c r="L40">
        <v>3694</v>
      </c>
      <c r="M40">
        <v>10</v>
      </c>
      <c r="N40">
        <v>16623</v>
      </c>
      <c r="O40" s="22" t="s">
        <v>65</v>
      </c>
      <c r="Q40" s="48" t="str">
        <v>R121</v>
      </c>
      <c r="R40" s="48" t="str">
        <v>02-05-2025</v>
      </c>
      <c r="S40" s="48" t="str">
        <v>C221</v>
      </c>
      <c r="T40" s="48" t="str">
        <v>Manoj</v>
      </c>
      <c r="U40" s="48" t="str">
        <v>M</v>
      </c>
      <c r="V40" s="48">
        <v>44</v>
      </c>
      <c r="W40" s="48" t="str">
        <v>Patna</v>
      </c>
      <c r="X40" s="48" t="str">
        <v>Bihar</v>
      </c>
      <c r="Y40" s="48" t="str">
        <v>Groceries</v>
      </c>
      <c r="Z40" s="48" t="str">
        <v>Wheat Flour</v>
      </c>
      <c r="AA40" s="48">
        <v>2</v>
      </c>
      <c r="AB40" s="48">
        <v>4397</v>
      </c>
      <c r="AC40" s="48">
        <v>10</v>
      </c>
      <c r="AD40" s="48">
        <v>7914.6</v>
      </c>
      <c r="AE40" s="48" t="str">
        <v>UPI</v>
      </c>
    </row>
    <row r="41" spans="1:31">
      <c r="A41" s="20" t="s">
        <v>130</v>
      </c>
      <c r="B41" s="16" t="s">
        <v>131</v>
      </c>
      <c r="C41" t="s">
        <v>132</v>
      </c>
      <c r="D41" t="s">
        <v>49</v>
      </c>
      <c r="E41" t="s">
        <v>19</v>
      </c>
      <c r="F41">
        <v>25</v>
      </c>
      <c r="G41" t="s">
        <v>100</v>
      </c>
      <c r="H41" t="s">
        <v>101</v>
      </c>
      <c r="I41" t="s">
        <v>83</v>
      </c>
      <c r="J41" t="s">
        <v>133</v>
      </c>
      <c r="K41">
        <v>3</v>
      </c>
      <c r="L41">
        <v>5782</v>
      </c>
      <c r="M41">
        <v>5</v>
      </c>
      <c r="N41">
        <v>16478.7</v>
      </c>
      <c r="O41" s="22" t="s">
        <v>61</v>
      </c>
      <c r="Q41" s="48" t="str">
        <v>R059</v>
      </c>
      <c r="R41" s="48" t="str">
        <v>01-03-2025</v>
      </c>
      <c r="S41" s="48" t="str">
        <v>C159</v>
      </c>
      <c r="T41" s="48" t="str">
        <v>Vikram</v>
      </c>
      <c r="U41" s="48" t="str">
        <v>M</v>
      </c>
      <c r="V41" s="48">
        <v>47</v>
      </c>
      <c r="W41" s="48" t="str">
        <v>Jaipur</v>
      </c>
      <c r="X41" s="48" t="str">
        <v>Rajasthan</v>
      </c>
      <c r="Y41" s="48" t="str">
        <v>Clothing</v>
      </c>
      <c r="Z41" s="48" t="str">
        <v>Formal Shirt</v>
      </c>
      <c r="AA41" s="48">
        <v>2</v>
      </c>
      <c r="AB41" s="48">
        <v>3844</v>
      </c>
      <c r="AC41" s="48">
        <v>5</v>
      </c>
      <c r="AD41" s="48">
        <v>7303.6</v>
      </c>
      <c r="AE41" s="48" t="str">
        <v>UPI</v>
      </c>
    </row>
    <row r="42" spans="1:31">
      <c r="A42" s="20" t="s">
        <v>405</v>
      </c>
      <c r="B42" s="16" t="s">
        <v>406</v>
      </c>
      <c r="C42" t="s">
        <v>407</v>
      </c>
      <c r="D42" t="s">
        <v>320</v>
      </c>
      <c r="E42" t="s">
        <v>19</v>
      </c>
      <c r="F42">
        <v>46</v>
      </c>
      <c r="G42" t="s">
        <v>140</v>
      </c>
      <c r="H42" t="s">
        <v>141</v>
      </c>
      <c r="I42" t="s">
        <v>59</v>
      </c>
      <c r="J42" t="s">
        <v>110</v>
      </c>
      <c r="K42">
        <v>3</v>
      </c>
      <c r="L42">
        <v>5308</v>
      </c>
      <c r="M42">
        <v>0</v>
      </c>
      <c r="N42">
        <v>15924</v>
      </c>
      <c r="O42" s="22" t="s">
        <v>23</v>
      </c>
      <c r="Q42" s="48" t="str">
        <v>R038</v>
      </c>
      <c r="R42" s="48" t="str">
        <v>08-02-2025</v>
      </c>
      <c r="S42" s="48" t="str">
        <v>C138</v>
      </c>
      <c r="T42" s="48" t="str">
        <v>Vikram</v>
      </c>
      <c r="U42" s="48" t="str">
        <v>M</v>
      </c>
      <c r="V42" s="48">
        <v>36</v>
      </c>
      <c r="W42" s="48" t="str">
        <v>Jaipur</v>
      </c>
      <c r="X42" s="48" t="str">
        <v>Rajasthan</v>
      </c>
      <c r="Y42" s="48" t="str">
        <v>Furniture</v>
      </c>
      <c r="Z42" s="48" t="str">
        <v>Side Table</v>
      </c>
      <c r="AA42" s="48">
        <v>3</v>
      </c>
      <c r="AB42" s="48">
        <v>2835</v>
      </c>
      <c r="AC42" s="48">
        <v>15</v>
      </c>
      <c r="AD42" s="48">
        <v>7229.25</v>
      </c>
      <c r="AE42" s="48" t="str">
        <v>UPI</v>
      </c>
    </row>
    <row r="43" spans="1:31">
      <c r="A43" s="20" t="s">
        <v>471</v>
      </c>
      <c r="B43" s="16" t="s">
        <v>472</v>
      </c>
      <c r="C43" t="s">
        <v>473</v>
      </c>
      <c r="D43" t="s">
        <v>320</v>
      </c>
      <c r="E43" t="s">
        <v>19</v>
      </c>
      <c r="F43">
        <v>49</v>
      </c>
      <c r="G43" t="s">
        <v>140</v>
      </c>
      <c r="H43" t="s">
        <v>141</v>
      </c>
      <c r="I43" t="s">
        <v>21</v>
      </c>
      <c r="J43" t="s">
        <v>190</v>
      </c>
      <c r="K43">
        <v>5</v>
      </c>
      <c r="L43">
        <v>3171</v>
      </c>
      <c r="M43">
        <v>0</v>
      </c>
      <c r="N43">
        <v>15855</v>
      </c>
      <c r="O43" s="22" t="s">
        <v>65</v>
      </c>
      <c r="Q43" s="48" t="str">
        <v>R045</v>
      </c>
      <c r="R43" s="48" t="str">
        <v>15-02-2025</v>
      </c>
      <c r="S43" s="48" t="str">
        <v>C145</v>
      </c>
      <c r="T43" s="48" t="str">
        <v>Deepak</v>
      </c>
      <c r="U43" s="48" t="str">
        <v>M</v>
      </c>
      <c r="V43" s="48">
        <v>47</v>
      </c>
      <c r="W43" s="48" t="str">
        <v>Lucknow</v>
      </c>
      <c r="X43" s="48" t="str">
        <v>Uttar Pradesh</v>
      </c>
      <c r="Y43" s="48" t="str">
        <v>Furniture</v>
      </c>
      <c r="Z43" s="48" t="str">
        <v>Office Chair</v>
      </c>
      <c r="AA43" s="48">
        <v>1</v>
      </c>
      <c r="AB43" s="48">
        <v>7619</v>
      </c>
      <c r="AC43" s="48">
        <v>10</v>
      </c>
      <c r="AD43" s="48">
        <v>6857.1</v>
      </c>
      <c r="AE43" s="48" t="str">
        <v>UPI</v>
      </c>
    </row>
    <row r="44" spans="1:31">
      <c r="A44" s="20" t="s">
        <v>287</v>
      </c>
      <c r="B44" s="16" t="s">
        <v>288</v>
      </c>
      <c r="C44" t="s">
        <v>289</v>
      </c>
      <c r="D44" t="s">
        <v>159</v>
      </c>
      <c r="E44" t="s">
        <v>19</v>
      </c>
      <c r="F44">
        <v>48</v>
      </c>
      <c r="G44" t="s">
        <v>70</v>
      </c>
      <c r="H44" t="s">
        <v>70</v>
      </c>
      <c r="I44" t="s">
        <v>21</v>
      </c>
      <c r="J44" t="s">
        <v>129</v>
      </c>
      <c r="K44">
        <v>3</v>
      </c>
      <c r="L44">
        <v>6556</v>
      </c>
      <c r="M44">
        <v>20</v>
      </c>
      <c r="N44">
        <v>15734.4</v>
      </c>
      <c r="O44" s="22" t="s">
        <v>23</v>
      </c>
      <c r="Q44" s="48" t="str">
        <v>R113</v>
      </c>
      <c r="R44" s="48" t="str">
        <v>24-04-2025</v>
      </c>
      <c r="S44" s="48" t="str">
        <v>C213</v>
      </c>
      <c r="T44" s="48" t="str">
        <v>Rakesh</v>
      </c>
      <c r="U44" s="48" t="str">
        <v>M</v>
      </c>
      <c r="V44" s="48">
        <v>38</v>
      </c>
      <c r="W44" s="48" t="str">
        <v>Kolkata</v>
      </c>
      <c r="X44" s="48" t="str">
        <v>West Bengal</v>
      </c>
      <c r="Y44" s="48" t="str">
        <v>Groceries</v>
      </c>
      <c r="Z44" s="48" t="str">
        <v>Cooking Oil</v>
      </c>
      <c r="AA44" s="48">
        <v>3</v>
      </c>
      <c r="AB44" s="48">
        <v>2847</v>
      </c>
      <c r="AC44" s="48">
        <v>20</v>
      </c>
      <c r="AD44" s="48">
        <v>6832.8</v>
      </c>
      <c r="AE44" s="48" t="str">
        <v>UPI</v>
      </c>
    </row>
    <row r="45" spans="1:31">
      <c r="A45" s="20" t="s">
        <v>66</v>
      </c>
      <c r="B45" s="16" t="s">
        <v>67</v>
      </c>
      <c r="C45" t="s">
        <v>68</v>
      </c>
      <c r="D45" t="s">
        <v>69</v>
      </c>
      <c r="E45" t="s">
        <v>37</v>
      </c>
      <c r="F45">
        <v>31</v>
      </c>
      <c r="G45" t="s">
        <v>70</v>
      </c>
      <c r="H45" t="s">
        <v>70</v>
      </c>
      <c r="I45" t="s">
        <v>59</v>
      </c>
      <c r="J45" t="s">
        <v>71</v>
      </c>
      <c r="K45">
        <v>5</v>
      </c>
      <c r="L45">
        <v>3267</v>
      </c>
      <c r="M45">
        <v>5</v>
      </c>
      <c r="N45">
        <v>15518.25</v>
      </c>
      <c r="O45" s="22" t="s">
        <v>32</v>
      </c>
      <c r="Q45" s="48" t="str">
        <v>R133</v>
      </c>
      <c r="R45" s="48" t="str">
        <v>14-05-2025</v>
      </c>
      <c r="S45" s="48" t="str">
        <v>C233</v>
      </c>
      <c r="T45" s="48" t="str">
        <v>Swati</v>
      </c>
      <c r="U45" s="48" t="str">
        <v>F</v>
      </c>
      <c r="V45" s="48">
        <v>42</v>
      </c>
      <c r="W45" s="48" t="str">
        <v>Mumbai</v>
      </c>
      <c r="X45" s="48" t="str">
        <v>Maharashtra</v>
      </c>
      <c r="Y45" s="48" t="str">
        <v>Furniture</v>
      </c>
      <c r="Z45" s="48" t="str">
        <v>Side Table</v>
      </c>
      <c r="AA45" s="48">
        <v>5</v>
      </c>
      <c r="AB45" s="48">
        <v>1436</v>
      </c>
      <c r="AC45" s="48">
        <v>5</v>
      </c>
      <c r="AD45" s="48">
        <v>6821</v>
      </c>
      <c r="AE45" s="48" t="str">
        <v>UPI</v>
      </c>
    </row>
    <row r="46" spans="1:31">
      <c r="A46" s="20" t="s">
        <v>72</v>
      </c>
      <c r="B46" s="16" t="s">
        <v>73</v>
      </c>
      <c r="C46" t="s">
        <v>74</v>
      </c>
      <c r="D46" t="s">
        <v>75</v>
      </c>
      <c r="E46" t="s">
        <v>19</v>
      </c>
      <c r="F46">
        <v>48</v>
      </c>
      <c r="G46" t="s">
        <v>70</v>
      </c>
      <c r="H46" t="s">
        <v>70</v>
      </c>
      <c r="I46" t="s">
        <v>30</v>
      </c>
      <c r="J46" t="s">
        <v>76</v>
      </c>
      <c r="K46">
        <v>4</v>
      </c>
      <c r="L46">
        <v>4493</v>
      </c>
      <c r="M46">
        <v>15</v>
      </c>
      <c r="N46">
        <v>15276.2</v>
      </c>
      <c r="O46" s="22" t="s">
        <v>23</v>
      </c>
      <c r="Q46" s="48" t="str">
        <v>R128</v>
      </c>
      <c r="R46" s="48" t="str">
        <v>09-05-2025</v>
      </c>
      <c r="S46" s="48" t="str">
        <v>C228</v>
      </c>
      <c r="T46" s="48" t="str">
        <v>Nisha</v>
      </c>
      <c r="U46" s="48" t="str">
        <v>F</v>
      </c>
      <c r="V46" s="48">
        <v>48</v>
      </c>
      <c r="W46" s="48" t="str">
        <v>Chandigarh</v>
      </c>
      <c r="X46" s="48" t="str">
        <v>Chandigarh</v>
      </c>
      <c r="Y46" s="48" t="str">
        <v>Furniture</v>
      </c>
      <c r="Z46" s="48" t="str">
        <v>Study Table</v>
      </c>
      <c r="AA46" s="48">
        <v>1</v>
      </c>
      <c r="AB46" s="48">
        <v>6514</v>
      </c>
      <c r="AC46" s="48">
        <v>5</v>
      </c>
      <c r="AD46" s="48">
        <v>6188.3</v>
      </c>
      <c r="AE46" s="48" t="str">
        <v>UPI</v>
      </c>
    </row>
    <row r="47" spans="1:31">
      <c r="A47" s="20" t="s">
        <v>447</v>
      </c>
      <c r="B47" s="16" t="s">
        <v>448</v>
      </c>
      <c r="C47" t="s">
        <v>449</v>
      </c>
      <c r="D47" t="s">
        <v>56</v>
      </c>
      <c r="E47" t="s">
        <v>37</v>
      </c>
      <c r="F47">
        <v>45</v>
      </c>
      <c r="G47" t="s">
        <v>57</v>
      </c>
      <c r="H47" t="s">
        <v>58</v>
      </c>
      <c r="I47" t="s">
        <v>59</v>
      </c>
      <c r="J47" t="s">
        <v>171</v>
      </c>
      <c r="K47">
        <v>4</v>
      </c>
      <c r="L47">
        <v>4449</v>
      </c>
      <c r="M47">
        <v>15</v>
      </c>
      <c r="N47">
        <v>15126.6</v>
      </c>
      <c r="O47" s="22" t="s">
        <v>65</v>
      </c>
      <c r="Q47" s="48" t="str">
        <v>R125</v>
      </c>
      <c r="R47" s="48" t="str">
        <v>06-05-2025</v>
      </c>
      <c r="S47" s="48" t="str">
        <v>C225</v>
      </c>
      <c r="T47" s="48" t="str">
        <v>Swati</v>
      </c>
      <c r="U47" s="48" t="str">
        <v>F</v>
      </c>
      <c r="V47" s="48">
        <v>45</v>
      </c>
      <c r="W47" s="48" t="str">
        <v>Patna</v>
      </c>
      <c r="X47" s="48" t="str">
        <v>Bihar</v>
      </c>
      <c r="Y47" s="48" t="str">
        <v>Groceries</v>
      </c>
      <c r="Z47" s="48" t="str">
        <v>Wheat Flour</v>
      </c>
      <c r="AA47" s="48">
        <v>2</v>
      </c>
      <c r="AB47" s="48">
        <v>3254</v>
      </c>
      <c r="AC47" s="48">
        <v>5</v>
      </c>
      <c r="AD47" s="48">
        <v>6182.6</v>
      </c>
      <c r="AE47" s="48" t="str">
        <v>UPI</v>
      </c>
    </row>
    <row r="48" spans="1:31">
      <c r="A48" s="20" t="s">
        <v>423</v>
      </c>
      <c r="B48" s="16" t="s">
        <v>424</v>
      </c>
      <c r="C48" t="s">
        <v>425</v>
      </c>
      <c r="D48" t="s">
        <v>56</v>
      </c>
      <c r="E48" t="s">
        <v>37</v>
      </c>
      <c r="F48">
        <v>26</v>
      </c>
      <c r="G48" t="s">
        <v>100</v>
      </c>
      <c r="H48" t="s">
        <v>101</v>
      </c>
      <c r="I48" t="s">
        <v>59</v>
      </c>
      <c r="J48" t="s">
        <v>71</v>
      </c>
      <c r="K48">
        <v>5</v>
      </c>
      <c r="L48">
        <v>3685</v>
      </c>
      <c r="M48">
        <v>20</v>
      </c>
      <c r="N48">
        <v>14740</v>
      </c>
      <c r="O48" s="22" t="s">
        <v>65</v>
      </c>
      <c r="Q48" s="48" t="str">
        <v>R111</v>
      </c>
      <c r="R48" s="48" t="str">
        <v>22-04-2025</v>
      </c>
      <c r="S48" s="48" t="str">
        <v>C211</v>
      </c>
      <c r="T48" s="48" t="str">
        <v>Arjun</v>
      </c>
      <c r="U48" s="48" t="str">
        <v>M</v>
      </c>
      <c r="V48" s="48">
        <v>44</v>
      </c>
      <c r="W48" s="48" t="str">
        <v>Delhi</v>
      </c>
      <c r="X48" s="48" t="str">
        <v>Delhi</v>
      </c>
      <c r="Y48" s="48" t="str">
        <v>Electronics</v>
      </c>
      <c r="Z48" s="48" t="str">
        <v>Bluetooth Speaker</v>
      </c>
      <c r="AA48" s="48">
        <v>3</v>
      </c>
      <c r="AB48" s="48">
        <v>2007</v>
      </c>
      <c r="AC48" s="48">
        <v>5</v>
      </c>
      <c r="AD48" s="48">
        <v>5719.95</v>
      </c>
      <c r="AE48" s="48" t="str">
        <v>UPI</v>
      </c>
    </row>
    <row r="49" spans="1:31">
      <c r="A49" s="20" t="s">
        <v>244</v>
      </c>
      <c r="B49" s="16" t="s">
        <v>245</v>
      </c>
      <c r="C49" t="s">
        <v>246</v>
      </c>
      <c r="D49" t="s">
        <v>145</v>
      </c>
      <c r="E49" t="s">
        <v>19</v>
      </c>
      <c r="F49">
        <v>34</v>
      </c>
      <c r="G49" t="s">
        <v>43</v>
      </c>
      <c r="H49" t="s">
        <v>44</v>
      </c>
      <c r="I49" t="s">
        <v>59</v>
      </c>
      <c r="J49" t="s">
        <v>110</v>
      </c>
      <c r="K49">
        <v>5</v>
      </c>
      <c r="L49">
        <v>2928</v>
      </c>
      <c r="M49">
        <v>0</v>
      </c>
      <c r="N49">
        <v>14640</v>
      </c>
      <c r="O49" s="22" t="s">
        <v>32</v>
      </c>
      <c r="Q49" s="48" t="str">
        <v>R105</v>
      </c>
      <c r="R49" s="48" t="str">
        <v>16-04-2025</v>
      </c>
      <c r="S49" s="48" t="str">
        <v>C205</v>
      </c>
      <c r="T49" s="48" t="str">
        <v>Nisha</v>
      </c>
      <c r="U49" s="48" t="str">
        <v>F</v>
      </c>
      <c r="V49" s="48">
        <v>46</v>
      </c>
      <c r="W49" s="48" t="str">
        <v>Chandigarh</v>
      </c>
      <c r="X49" s="48" t="str">
        <v>Chandigarh</v>
      </c>
      <c r="Y49" s="48" t="str">
        <v>Electronics</v>
      </c>
      <c r="Z49" s="48" t="str">
        <v>Bluetooth Speaker</v>
      </c>
      <c r="AA49" s="48">
        <v>5</v>
      </c>
      <c r="AB49" s="48">
        <v>1198</v>
      </c>
      <c r="AC49" s="48">
        <v>5</v>
      </c>
      <c r="AD49" s="48">
        <v>5690.5</v>
      </c>
      <c r="AE49" s="48" t="str">
        <v>UPI</v>
      </c>
    </row>
    <row r="50" spans="1:31">
      <c r="A50" s="20" t="s">
        <v>77</v>
      </c>
      <c r="B50" s="16" t="s">
        <v>78</v>
      </c>
      <c r="C50" t="s">
        <v>79</v>
      </c>
      <c r="D50" t="s">
        <v>80</v>
      </c>
      <c r="E50" t="s">
        <v>19</v>
      </c>
      <c r="F50">
        <v>37</v>
      </c>
      <c r="G50" t="s">
        <v>81</v>
      </c>
      <c r="H50" t="s">
        <v>82</v>
      </c>
      <c r="I50" t="s">
        <v>83</v>
      </c>
      <c r="J50" t="s">
        <v>84</v>
      </c>
      <c r="K50">
        <v>4</v>
      </c>
      <c r="L50">
        <v>4100</v>
      </c>
      <c r="M50">
        <v>15</v>
      </c>
      <c r="N50">
        <v>13940</v>
      </c>
      <c r="O50" s="22" t="s">
        <v>32</v>
      </c>
      <c r="Q50" s="48" t="str">
        <v>R051</v>
      </c>
      <c r="R50" s="48" t="str">
        <v>21-02-2025</v>
      </c>
      <c r="S50" s="48" t="str">
        <v>C151</v>
      </c>
      <c r="T50" s="48" t="str">
        <v>Meena</v>
      </c>
      <c r="U50" s="48" t="str">
        <v>F</v>
      </c>
      <c r="V50" s="48">
        <v>39</v>
      </c>
      <c r="W50" s="48" t="str">
        <v>Bhopal</v>
      </c>
      <c r="X50" s="48" t="str">
        <v>Madhya Pradesh</v>
      </c>
      <c r="Y50" s="48" t="str">
        <v>Clothing</v>
      </c>
      <c r="Z50" s="48" t="str">
        <v>T-Shirt</v>
      </c>
      <c r="AA50" s="48">
        <v>2</v>
      </c>
      <c r="AB50" s="48">
        <v>3284</v>
      </c>
      <c r="AC50" s="48">
        <v>15</v>
      </c>
      <c r="AD50" s="48">
        <v>5582.8</v>
      </c>
      <c r="AE50" s="48" t="str">
        <v>UPI</v>
      </c>
    </row>
    <row r="51" spans="1:31">
      <c r="A51" s="20" t="s">
        <v>137</v>
      </c>
      <c r="B51" s="16" t="s">
        <v>138</v>
      </c>
      <c r="C51" t="s">
        <v>139</v>
      </c>
      <c r="D51" t="s">
        <v>18</v>
      </c>
      <c r="E51" t="s">
        <v>19</v>
      </c>
      <c r="F51">
        <v>29</v>
      </c>
      <c r="G51" t="s">
        <v>140</v>
      </c>
      <c r="H51" t="s">
        <v>141</v>
      </c>
      <c r="I51" t="s">
        <v>83</v>
      </c>
      <c r="J51" t="s">
        <v>118</v>
      </c>
      <c r="K51">
        <v>2</v>
      </c>
      <c r="L51">
        <v>7432</v>
      </c>
      <c r="M51">
        <v>10</v>
      </c>
      <c r="N51">
        <v>13377.6</v>
      </c>
      <c r="O51" s="22" t="s">
        <v>65</v>
      </c>
      <c r="Q51" s="48" t="str">
        <v>R127</v>
      </c>
      <c r="R51" s="48" t="str">
        <v>08-05-2025</v>
      </c>
      <c r="S51" s="48" t="str">
        <v>C227</v>
      </c>
      <c r="T51" s="48" t="str">
        <v>Deepak</v>
      </c>
      <c r="U51" s="48" t="str">
        <v>M</v>
      </c>
      <c r="V51" s="48">
        <v>41</v>
      </c>
      <c r="W51" s="48" t="str">
        <v>Chandigarh</v>
      </c>
      <c r="X51" s="48" t="str">
        <v>Chandigarh</v>
      </c>
      <c r="Y51" s="48" t="str">
        <v>Furniture</v>
      </c>
      <c r="Z51" s="48" t="str">
        <v>Study Table</v>
      </c>
      <c r="AA51" s="48">
        <v>4</v>
      </c>
      <c r="AB51" s="48">
        <v>1256</v>
      </c>
      <c r="AC51" s="48">
        <v>10</v>
      </c>
      <c r="AD51" s="48">
        <v>4521.6</v>
      </c>
      <c r="AE51" s="48" t="str">
        <v>UPI</v>
      </c>
    </row>
    <row r="52" spans="1:31">
      <c r="A52" s="20" t="s">
        <v>498</v>
      </c>
      <c r="B52" s="16" t="s">
        <v>499</v>
      </c>
      <c r="C52" t="s">
        <v>500</v>
      </c>
      <c r="D52" t="s">
        <v>91</v>
      </c>
      <c r="E52" t="s">
        <v>37</v>
      </c>
      <c r="F52">
        <v>48</v>
      </c>
      <c r="G52" t="s">
        <v>140</v>
      </c>
      <c r="H52" t="s">
        <v>141</v>
      </c>
      <c r="I52" t="s">
        <v>83</v>
      </c>
      <c r="J52" t="s">
        <v>118</v>
      </c>
      <c r="K52">
        <v>2</v>
      </c>
      <c r="L52">
        <v>7805</v>
      </c>
      <c r="M52">
        <v>15</v>
      </c>
      <c r="N52">
        <v>13268.5</v>
      </c>
      <c r="O52" s="22" t="s">
        <v>61</v>
      </c>
      <c r="Q52" s="48" t="str">
        <v>R086</v>
      </c>
      <c r="R52" s="48" t="str">
        <v>28-03-2025</v>
      </c>
      <c r="S52" s="48" t="str">
        <v>C186</v>
      </c>
      <c r="T52" s="48" t="str">
        <v>Pooja</v>
      </c>
      <c r="U52" s="48" t="str">
        <v>F</v>
      </c>
      <c r="V52" s="48">
        <v>30</v>
      </c>
      <c r="W52" s="48" t="str">
        <v>Kolkata</v>
      </c>
      <c r="X52" s="48" t="str">
        <v>West Bengal</v>
      </c>
      <c r="Y52" s="48" t="str">
        <v>Electronics</v>
      </c>
      <c r="Z52" s="48" t="str">
        <v>Smart Watch</v>
      </c>
      <c r="AA52" s="48">
        <v>3</v>
      </c>
      <c r="AB52" s="48">
        <v>1616</v>
      </c>
      <c r="AC52" s="48">
        <v>15</v>
      </c>
      <c r="AD52" s="48">
        <v>4120.8</v>
      </c>
      <c r="AE52" s="48" t="str">
        <v>UPI</v>
      </c>
    </row>
    <row r="53" spans="1:31">
      <c r="A53" s="20" t="s">
        <v>399</v>
      </c>
      <c r="B53" s="16" t="s">
        <v>400</v>
      </c>
      <c r="C53" t="s">
        <v>401</v>
      </c>
      <c r="D53" t="s">
        <v>69</v>
      </c>
      <c r="E53" t="s">
        <v>37</v>
      </c>
      <c r="F53">
        <v>35</v>
      </c>
      <c r="G53" t="s">
        <v>28</v>
      </c>
      <c r="H53" t="s">
        <v>29</v>
      </c>
      <c r="I53" t="s">
        <v>59</v>
      </c>
      <c r="J53" t="s">
        <v>171</v>
      </c>
      <c r="K53">
        <v>2</v>
      </c>
      <c r="L53">
        <v>7619</v>
      </c>
      <c r="M53">
        <v>15</v>
      </c>
      <c r="N53">
        <v>12952.3</v>
      </c>
      <c r="O53" s="22" t="s">
        <v>32</v>
      </c>
      <c r="Q53" s="48" t="str">
        <v>R117</v>
      </c>
      <c r="R53" s="48" t="str">
        <v>28-04-2025</v>
      </c>
      <c r="S53" s="48" t="str">
        <v>C217</v>
      </c>
      <c r="T53" s="48" t="str">
        <v>Sachin</v>
      </c>
      <c r="U53" s="48" t="str">
        <v>M</v>
      </c>
      <c r="V53" s="48">
        <v>29</v>
      </c>
      <c r="W53" s="48" t="str">
        <v>Ahmedabad</v>
      </c>
      <c r="X53" s="48" t="str">
        <v>Gujrat</v>
      </c>
      <c r="Y53" s="48" t="str">
        <v>Clothing</v>
      </c>
      <c r="Z53" s="48" t="str">
        <v>Kurti</v>
      </c>
      <c r="AA53" s="48">
        <v>3</v>
      </c>
      <c r="AB53" s="48">
        <v>1460</v>
      </c>
      <c r="AC53" s="48">
        <v>20</v>
      </c>
      <c r="AD53" s="48">
        <v>3504</v>
      </c>
      <c r="AE53" s="48" t="str">
        <v>UPI</v>
      </c>
    </row>
    <row r="54" spans="1:31">
      <c r="A54" s="20" t="s">
        <v>480</v>
      </c>
      <c r="B54" s="16" t="s">
        <v>481</v>
      </c>
      <c r="C54" t="s">
        <v>482</v>
      </c>
      <c r="D54" t="s">
        <v>18</v>
      </c>
      <c r="E54" t="s">
        <v>19</v>
      </c>
      <c r="F54">
        <v>40</v>
      </c>
      <c r="G54" t="s">
        <v>50</v>
      </c>
      <c r="H54" t="s">
        <v>51</v>
      </c>
      <c r="I54" t="s">
        <v>21</v>
      </c>
      <c r="J54" t="s">
        <v>22</v>
      </c>
      <c r="K54">
        <v>2</v>
      </c>
      <c r="L54">
        <v>7516</v>
      </c>
      <c r="M54">
        <v>15</v>
      </c>
      <c r="N54">
        <v>12777.2</v>
      </c>
      <c r="O54" s="22" t="s">
        <v>23</v>
      </c>
      <c r="Q54" s="48" t="str">
        <v>R104</v>
      </c>
      <c r="R54" s="48" t="str">
        <v>15-04-2025</v>
      </c>
      <c r="S54" s="48" t="str">
        <v>C204</v>
      </c>
      <c r="T54" s="48" t="str">
        <v>Sonali</v>
      </c>
      <c r="U54" s="48" t="str">
        <v>F</v>
      </c>
      <c r="V54" s="48">
        <v>34</v>
      </c>
      <c r="W54" s="48" t="str">
        <v>Ahmedabad</v>
      </c>
      <c r="X54" s="48" t="str">
        <v>Gujrat</v>
      </c>
      <c r="Y54" s="48" t="str">
        <v>Electronics</v>
      </c>
      <c r="Z54" s="48" t="str">
        <v>Smart Watch</v>
      </c>
      <c r="AA54" s="48">
        <v>2</v>
      </c>
      <c r="AB54" s="48">
        <v>1709</v>
      </c>
      <c r="AC54" s="48">
        <v>5</v>
      </c>
      <c r="AD54" s="48">
        <v>3247.1</v>
      </c>
      <c r="AE54" s="48" t="str">
        <v>UPI</v>
      </c>
    </row>
    <row r="55" spans="1:31">
      <c r="A55" s="20" t="s">
        <v>317</v>
      </c>
      <c r="B55" s="16" t="s">
        <v>318</v>
      </c>
      <c r="C55" t="s">
        <v>319</v>
      </c>
      <c r="D55" t="s">
        <v>320</v>
      </c>
      <c r="E55" t="s">
        <v>19</v>
      </c>
      <c r="F55">
        <v>49</v>
      </c>
      <c r="G55" t="s">
        <v>43</v>
      </c>
      <c r="H55" t="s">
        <v>44</v>
      </c>
      <c r="I55" t="s">
        <v>83</v>
      </c>
      <c r="J55" t="s">
        <v>164</v>
      </c>
      <c r="K55">
        <v>2</v>
      </c>
      <c r="L55">
        <v>7090</v>
      </c>
      <c r="M55">
        <v>15</v>
      </c>
      <c r="N55">
        <v>12053</v>
      </c>
      <c r="O55" s="22" t="s">
        <v>65</v>
      </c>
      <c r="Q55" s="48" t="str">
        <v>R063</v>
      </c>
      <c r="R55" s="48" t="str">
        <v>05-03-2025</v>
      </c>
      <c r="S55" s="48" t="str">
        <v>C163</v>
      </c>
      <c r="T55" s="48" t="str">
        <v>Kajal</v>
      </c>
      <c r="U55" s="48" t="str">
        <v>F</v>
      </c>
      <c r="V55" s="48">
        <v>35</v>
      </c>
      <c r="W55" s="48" t="str">
        <v>Kolkata</v>
      </c>
      <c r="X55" s="48" t="str">
        <v>West Bengal</v>
      </c>
      <c r="Y55" s="48" t="str">
        <v>Electronics</v>
      </c>
      <c r="Z55" s="48" t="str">
        <v>Headphones</v>
      </c>
      <c r="AA55" s="48">
        <v>4</v>
      </c>
      <c r="AB55" s="48">
        <v>710</v>
      </c>
      <c r="AC55" s="48">
        <v>15</v>
      </c>
      <c r="AD55" s="48">
        <v>2414</v>
      </c>
      <c r="AE55" s="48" t="str">
        <v>UPI</v>
      </c>
    </row>
    <row r="56" spans="1:31">
      <c r="A56" s="20" t="s">
        <v>184</v>
      </c>
      <c r="B56" s="16" t="s">
        <v>185</v>
      </c>
      <c r="C56" t="s">
        <v>186</v>
      </c>
      <c r="D56" t="s">
        <v>56</v>
      </c>
      <c r="E56" t="s">
        <v>37</v>
      </c>
      <c r="F56">
        <v>48</v>
      </c>
      <c r="G56" t="s">
        <v>28</v>
      </c>
      <c r="H56" t="s">
        <v>29</v>
      </c>
      <c r="I56" t="s">
        <v>83</v>
      </c>
      <c r="J56" t="s">
        <v>92</v>
      </c>
      <c r="K56">
        <v>3</v>
      </c>
      <c r="L56">
        <v>5019</v>
      </c>
      <c r="M56">
        <v>20</v>
      </c>
      <c r="N56">
        <v>12045.6</v>
      </c>
      <c r="O56" s="22" t="s">
        <v>61</v>
      </c>
      <c r="Q56" s="48" t="str">
        <v>R016</v>
      </c>
      <c r="R56" s="48" t="str">
        <v>17-01-2025</v>
      </c>
      <c r="S56" s="48" t="str">
        <v>C116</v>
      </c>
      <c r="T56" s="48" t="str">
        <v>Deepak</v>
      </c>
      <c r="U56" s="48" t="str">
        <v>M</v>
      </c>
      <c r="V56" s="48">
        <v>22</v>
      </c>
      <c r="W56" s="48" t="str">
        <v>Ahmedabad</v>
      </c>
      <c r="X56" s="48" t="str">
        <v>Gujrat</v>
      </c>
      <c r="Y56" s="48" t="str">
        <v>Groceries</v>
      </c>
      <c r="Z56" s="48" t="str">
        <v>Cooking Oil</v>
      </c>
      <c r="AA56" s="48">
        <v>3</v>
      </c>
      <c r="AB56" s="48">
        <v>933</v>
      </c>
      <c r="AC56" s="48">
        <v>20</v>
      </c>
      <c r="AD56" s="48">
        <v>2239.2</v>
      </c>
      <c r="AE56" s="48" t="str">
        <v>UPI</v>
      </c>
    </row>
    <row r="57" spans="1:31">
      <c r="A57" s="20" t="s">
        <v>305</v>
      </c>
      <c r="B57" s="16" t="s">
        <v>306</v>
      </c>
      <c r="C57" t="s">
        <v>307</v>
      </c>
      <c r="D57" t="s">
        <v>49</v>
      </c>
      <c r="E57" t="s">
        <v>19</v>
      </c>
      <c r="F57">
        <v>40</v>
      </c>
      <c r="G57" t="s">
        <v>28</v>
      </c>
      <c r="H57" t="s">
        <v>29</v>
      </c>
      <c r="I57" t="s">
        <v>30</v>
      </c>
      <c r="J57" t="s">
        <v>76</v>
      </c>
      <c r="K57">
        <v>2</v>
      </c>
      <c r="L57">
        <v>6869</v>
      </c>
      <c r="M57">
        <v>15</v>
      </c>
      <c r="N57">
        <v>11677.3</v>
      </c>
      <c r="O57" s="22" t="s">
        <v>61</v>
      </c>
      <c r="Q57" s="48" t="str">
        <v>R062</v>
      </c>
      <c r="R57" s="48" t="str">
        <v>04-03-2025</v>
      </c>
      <c r="S57" s="48" t="str">
        <v>C162</v>
      </c>
      <c r="T57" s="48" t="str">
        <v>Suman</v>
      </c>
      <c r="U57" s="48" t="str">
        <v>M</v>
      </c>
      <c r="V57" s="48">
        <v>37</v>
      </c>
      <c r="W57" s="48" t="str">
        <v>Bhopal</v>
      </c>
      <c r="X57" s="48" t="str">
        <v>Madhya Pradesh</v>
      </c>
      <c r="Y57" s="48" t="str">
        <v>Furniture</v>
      </c>
      <c r="Z57" s="48" t="str">
        <v>Side Table</v>
      </c>
      <c r="AA57" s="48">
        <v>4</v>
      </c>
      <c r="AB57" s="48">
        <v>500</v>
      </c>
      <c r="AC57" s="48">
        <v>0</v>
      </c>
      <c r="AD57" s="48">
        <v>2000</v>
      </c>
      <c r="AE57" s="48" t="str">
        <v>UPI</v>
      </c>
    </row>
    <row r="58" spans="1:31">
      <c r="A58" s="20" t="s">
        <v>250</v>
      </c>
      <c r="B58" s="16" t="s">
        <v>251</v>
      </c>
      <c r="C58" t="s">
        <v>252</v>
      </c>
      <c r="D58" t="s">
        <v>253</v>
      </c>
      <c r="E58" t="s">
        <v>37</v>
      </c>
      <c r="F58">
        <v>25</v>
      </c>
      <c r="G58" t="s">
        <v>57</v>
      </c>
      <c r="H58" t="s">
        <v>58</v>
      </c>
      <c r="I58" t="s">
        <v>21</v>
      </c>
      <c r="J58" t="s">
        <v>129</v>
      </c>
      <c r="K58">
        <v>5</v>
      </c>
      <c r="L58">
        <v>2583</v>
      </c>
      <c r="M58">
        <v>10</v>
      </c>
      <c r="N58">
        <v>11623.5</v>
      </c>
      <c r="O58" s="22" t="s">
        <v>61</v>
      </c>
      <c r="Q58" s="48" t="str">
        <v>R068</v>
      </c>
      <c r="R58" s="48" t="str">
        <v>10-03-2025</v>
      </c>
      <c r="S58" s="48" t="str">
        <v>C168</v>
      </c>
      <c r="T58" s="48" t="str">
        <v>Anita</v>
      </c>
      <c r="U58" s="48" t="str">
        <v>F</v>
      </c>
      <c r="V58" s="48">
        <v>47</v>
      </c>
      <c r="W58" s="48" t="str">
        <v>Lucknow</v>
      </c>
      <c r="X58" s="48" t="str">
        <v>Uttar Pradesh</v>
      </c>
      <c r="Y58" s="48" t="str">
        <v>Clothing</v>
      </c>
      <c r="Z58" s="48" t="str">
        <v>Jeans</v>
      </c>
      <c r="AA58" s="48">
        <v>1</v>
      </c>
      <c r="AB58" s="48">
        <v>2341</v>
      </c>
      <c r="AC58" s="48">
        <v>15</v>
      </c>
      <c r="AD58" s="48">
        <v>1989.85</v>
      </c>
      <c r="AE58" s="48" t="str">
        <v>UPI</v>
      </c>
    </row>
    <row r="59" spans="1:31">
      <c r="A59" s="20" t="s">
        <v>342</v>
      </c>
      <c r="B59" s="16" t="s">
        <v>343</v>
      </c>
      <c r="C59" t="s">
        <v>344</v>
      </c>
      <c r="D59" t="s">
        <v>56</v>
      </c>
      <c r="E59" t="s">
        <v>37</v>
      </c>
      <c r="F59">
        <v>30</v>
      </c>
      <c r="G59" t="s">
        <v>50</v>
      </c>
      <c r="H59" t="s">
        <v>51</v>
      </c>
      <c r="I59" t="s">
        <v>59</v>
      </c>
      <c r="J59" t="s">
        <v>71</v>
      </c>
      <c r="K59">
        <v>2</v>
      </c>
      <c r="L59">
        <v>6410</v>
      </c>
      <c r="M59">
        <v>10</v>
      </c>
      <c r="N59">
        <v>11538</v>
      </c>
      <c r="O59" s="22" t="s">
        <v>23</v>
      </c>
      <c r="Q59" s="48" t="str">
        <v>R001</v>
      </c>
      <c r="R59" s="48" t="str">
        <v>02-01-2025</v>
      </c>
      <c r="S59" s="48" t="str">
        <v>C101</v>
      </c>
      <c r="T59" s="48" t="str">
        <v>Arjun</v>
      </c>
      <c r="U59" s="48" t="str">
        <v>M</v>
      </c>
      <c r="V59" s="48">
        <v>35</v>
      </c>
      <c r="W59" s="48" t="str">
        <v>Delhi</v>
      </c>
      <c r="X59" s="48" t="str">
        <v>Delhi</v>
      </c>
      <c r="Y59" s="48" t="str">
        <v>Furniture</v>
      </c>
      <c r="Z59" s="48" t="str">
        <v>Office Chair</v>
      </c>
      <c r="AA59" s="48">
        <v>1</v>
      </c>
      <c r="AB59" s="48">
        <v>1760</v>
      </c>
      <c r="AC59" s="48">
        <v>5</v>
      </c>
      <c r="AD59" s="48">
        <v>1672</v>
      </c>
      <c r="AE59" s="48" t="str">
        <v>UPI</v>
      </c>
    </row>
    <row r="60" spans="1:31">
      <c r="A60" s="20" t="s">
        <v>205</v>
      </c>
      <c r="B60" s="16" t="s">
        <v>206</v>
      </c>
      <c r="C60" t="s">
        <v>207</v>
      </c>
      <c r="D60" t="s">
        <v>49</v>
      </c>
      <c r="E60" t="s">
        <v>19</v>
      </c>
      <c r="F60">
        <v>49</v>
      </c>
      <c r="G60" t="s">
        <v>38</v>
      </c>
      <c r="H60" t="s">
        <v>39</v>
      </c>
      <c r="I60" t="s">
        <v>59</v>
      </c>
      <c r="J60" t="s">
        <v>171</v>
      </c>
      <c r="K60">
        <v>5</v>
      </c>
      <c r="L60">
        <v>2881</v>
      </c>
      <c r="M60">
        <v>20</v>
      </c>
      <c r="N60">
        <v>11524</v>
      </c>
      <c r="O60" s="22" t="s">
        <v>61</v>
      </c>
      <c r="Q60" s="48" t="str">
        <v>R108</v>
      </c>
      <c r="R60" s="48" t="str">
        <v>19-04-2025</v>
      </c>
      <c r="S60" s="48" t="str">
        <v>C208</v>
      </c>
      <c r="T60" s="48" t="str">
        <v>Anita</v>
      </c>
      <c r="U60" s="48" t="str">
        <v>F</v>
      </c>
      <c r="V60" s="48">
        <v>44</v>
      </c>
      <c r="W60" s="48" t="str">
        <v>Delhi</v>
      </c>
      <c r="X60" s="48" t="str">
        <v>Delhi</v>
      </c>
      <c r="Y60" s="48" t="str">
        <v>Groceries</v>
      </c>
      <c r="Z60" s="48" t="str">
        <v>Sugar</v>
      </c>
      <c r="AA60" s="48">
        <v>2</v>
      </c>
      <c r="AB60" s="48">
        <v>893</v>
      </c>
      <c r="AC60" s="48">
        <v>20</v>
      </c>
      <c r="AD60" s="48">
        <v>1428.8</v>
      </c>
      <c r="AE60" s="48" t="str">
        <v>UPI</v>
      </c>
    </row>
    <row r="61" spans="1:31">
      <c r="A61" s="20" t="s">
        <v>510</v>
      </c>
      <c r="B61" s="16" t="s">
        <v>511</v>
      </c>
      <c r="C61" t="s">
        <v>512</v>
      </c>
      <c r="D61" t="s">
        <v>91</v>
      </c>
      <c r="E61" t="s">
        <v>37</v>
      </c>
      <c r="F61">
        <v>42</v>
      </c>
      <c r="G61" t="s">
        <v>100</v>
      </c>
      <c r="H61" t="s">
        <v>101</v>
      </c>
      <c r="I61" t="s">
        <v>59</v>
      </c>
      <c r="J61" t="s">
        <v>171</v>
      </c>
      <c r="K61">
        <v>3</v>
      </c>
      <c r="L61">
        <v>4769</v>
      </c>
      <c r="M61">
        <v>20</v>
      </c>
      <c r="N61">
        <v>11445.6</v>
      </c>
      <c r="O61" s="22" t="s">
        <v>61</v>
      </c>
      <c r="Q61" s="48" t="str">
        <v>R137</v>
      </c>
      <c r="R61" s="48" t="str">
        <v>18-05-2025</v>
      </c>
      <c r="S61" s="48" t="str">
        <v>C237</v>
      </c>
      <c r="T61" s="48" t="str">
        <v>Rohit</v>
      </c>
      <c r="U61" s="48" t="str">
        <v>M</v>
      </c>
      <c r="V61" s="48">
        <v>32</v>
      </c>
      <c r="W61" s="48" t="str">
        <v>Jaipur</v>
      </c>
      <c r="X61" s="48" t="str">
        <v>Rajasthan</v>
      </c>
      <c r="Y61" s="48" t="str">
        <v>Electronics</v>
      </c>
      <c r="Z61" s="48" t="str">
        <v>Router</v>
      </c>
      <c r="AA61" s="48">
        <v>1</v>
      </c>
      <c r="AB61" s="48">
        <v>293</v>
      </c>
      <c r="AC61" s="48">
        <v>15</v>
      </c>
      <c r="AD61" s="48">
        <v>249.05</v>
      </c>
      <c r="AE61" s="48" t="str">
        <v>UPI</v>
      </c>
    </row>
    <row r="62" spans="1:15">
      <c r="A62" s="20" t="s">
        <v>181</v>
      </c>
      <c r="B62" s="16" t="s">
        <v>182</v>
      </c>
      <c r="C62" t="s">
        <v>183</v>
      </c>
      <c r="D62" t="s">
        <v>36</v>
      </c>
      <c r="E62" t="s">
        <v>37</v>
      </c>
      <c r="F62">
        <v>24</v>
      </c>
      <c r="G62" t="s">
        <v>70</v>
      </c>
      <c r="H62" t="s">
        <v>70</v>
      </c>
      <c r="I62" t="s">
        <v>30</v>
      </c>
      <c r="J62" t="s">
        <v>76</v>
      </c>
      <c r="K62">
        <v>5</v>
      </c>
      <c r="L62">
        <v>2853</v>
      </c>
      <c r="M62">
        <v>20</v>
      </c>
      <c r="N62">
        <v>11412</v>
      </c>
      <c r="O62" s="22" t="s">
        <v>32</v>
      </c>
    </row>
    <row r="63" spans="1:15">
      <c r="A63" s="20" t="s">
        <v>474</v>
      </c>
      <c r="B63" s="16" t="s">
        <v>475</v>
      </c>
      <c r="C63" t="s">
        <v>476</v>
      </c>
      <c r="D63" t="s">
        <v>204</v>
      </c>
      <c r="E63" t="s">
        <v>37</v>
      </c>
      <c r="F63">
        <v>50</v>
      </c>
      <c r="G63" t="s">
        <v>70</v>
      </c>
      <c r="H63" t="s">
        <v>70</v>
      </c>
      <c r="I63" t="s">
        <v>83</v>
      </c>
      <c r="J63" t="s">
        <v>133</v>
      </c>
      <c r="K63">
        <v>3</v>
      </c>
      <c r="L63">
        <v>4718</v>
      </c>
      <c r="M63">
        <v>20</v>
      </c>
      <c r="N63">
        <v>11323.2</v>
      </c>
      <c r="O63" s="22" t="s">
        <v>32</v>
      </c>
    </row>
    <row r="64" spans="1:21">
      <c r="A64" s="20" t="s">
        <v>420</v>
      </c>
      <c r="B64" s="16" t="s">
        <v>421</v>
      </c>
      <c r="C64" t="s">
        <v>422</v>
      </c>
      <c r="D64" t="s">
        <v>149</v>
      </c>
      <c r="E64" t="s">
        <v>37</v>
      </c>
      <c r="F64">
        <v>32</v>
      </c>
      <c r="G64" t="s">
        <v>140</v>
      </c>
      <c r="H64" t="s">
        <v>141</v>
      </c>
      <c r="I64" t="s">
        <v>21</v>
      </c>
      <c r="J64" t="s">
        <v>197</v>
      </c>
      <c r="K64">
        <v>4</v>
      </c>
      <c r="L64">
        <v>2600</v>
      </c>
      <c r="M64">
        <v>0</v>
      </c>
      <c r="N64">
        <v>10400</v>
      </c>
      <c r="O64" s="22" t="s">
        <v>23</v>
      </c>
      <c r="Q64" s="23" t="s">
        <v>548</v>
      </c>
      <c r="R64" s="24"/>
      <c r="S64" s="24"/>
      <c r="T64" s="24"/>
      <c r="U64" s="25"/>
    </row>
    <row r="65" spans="1:21">
      <c r="A65" s="20" t="s">
        <v>272</v>
      </c>
      <c r="B65" s="16" t="s">
        <v>273</v>
      </c>
      <c r="C65" t="s">
        <v>274</v>
      </c>
      <c r="D65" t="s">
        <v>36</v>
      </c>
      <c r="E65" t="s">
        <v>37</v>
      </c>
      <c r="F65">
        <v>43</v>
      </c>
      <c r="G65" t="s">
        <v>28</v>
      </c>
      <c r="H65" t="s">
        <v>29</v>
      </c>
      <c r="I65" t="s">
        <v>83</v>
      </c>
      <c r="J65" t="s">
        <v>164</v>
      </c>
      <c r="K65">
        <v>4</v>
      </c>
      <c r="L65">
        <v>3249</v>
      </c>
      <c r="M65">
        <v>20</v>
      </c>
      <c r="N65">
        <v>10396.8</v>
      </c>
      <c r="O65" s="22" t="s">
        <v>65</v>
      </c>
      <c r="Q65" s="26"/>
      <c r="R65" s="27"/>
      <c r="S65" s="27"/>
      <c r="T65" s="27"/>
      <c r="U65" s="28"/>
    </row>
    <row r="66" spans="1:15">
      <c r="A66" s="20" t="s">
        <v>290</v>
      </c>
      <c r="B66" s="16" t="s">
        <v>291</v>
      </c>
      <c r="C66" t="s">
        <v>292</v>
      </c>
      <c r="D66" t="s">
        <v>159</v>
      </c>
      <c r="E66" t="s">
        <v>19</v>
      </c>
      <c r="F66">
        <v>20</v>
      </c>
      <c r="G66" t="s">
        <v>140</v>
      </c>
      <c r="H66" t="s">
        <v>141</v>
      </c>
      <c r="I66" t="s">
        <v>30</v>
      </c>
      <c r="J66" t="s">
        <v>45</v>
      </c>
      <c r="K66">
        <v>3</v>
      </c>
      <c r="L66">
        <v>4254</v>
      </c>
      <c r="M66">
        <v>20</v>
      </c>
      <c r="N66">
        <v>10209.6</v>
      </c>
      <c r="O66" s="22" t="s">
        <v>65</v>
      </c>
    </row>
    <row r="67" spans="1:31">
      <c r="A67" s="20" t="s">
        <v>62</v>
      </c>
      <c r="B67" s="16" t="s">
        <v>63</v>
      </c>
      <c r="C67" t="s">
        <v>64</v>
      </c>
      <c r="D67" t="s">
        <v>36</v>
      </c>
      <c r="E67" t="s">
        <v>37</v>
      </c>
      <c r="F67">
        <v>20</v>
      </c>
      <c r="G67" t="s">
        <v>38</v>
      </c>
      <c r="H67" t="s">
        <v>39</v>
      </c>
      <c r="I67" t="s">
        <v>30</v>
      </c>
      <c r="J67" t="s">
        <v>52</v>
      </c>
      <c r="K67">
        <v>3</v>
      </c>
      <c r="L67">
        <v>3392</v>
      </c>
      <c r="M67">
        <v>0</v>
      </c>
      <c r="N67">
        <v>10176</v>
      </c>
      <c r="O67" s="22" t="s">
        <v>65</v>
      </c>
      <c r="Q67" s="46" t="s">
        <v>0</v>
      </c>
      <c r="R67" s="47" t="s">
        <v>1</v>
      </c>
      <c r="S67" s="46" t="s">
        <v>2</v>
      </c>
      <c r="T67" s="46" t="s">
        <v>3</v>
      </c>
      <c r="U67" s="46" t="s">
        <v>4</v>
      </c>
      <c r="V67" s="46" t="s">
        <v>5</v>
      </c>
      <c r="W67" s="46" t="s">
        <v>6</v>
      </c>
      <c r="X67" s="46" t="s">
        <v>7</v>
      </c>
      <c r="Y67" s="46" t="s">
        <v>8</v>
      </c>
      <c r="Z67" s="46" t="s">
        <v>9</v>
      </c>
      <c r="AA67" s="46" t="s">
        <v>10</v>
      </c>
      <c r="AB67" s="46" t="s">
        <v>11</v>
      </c>
      <c r="AC67" s="46" t="s">
        <v>12</v>
      </c>
      <c r="AD67" s="46" t="s">
        <v>13</v>
      </c>
      <c r="AE67" s="46" t="s">
        <v>14</v>
      </c>
    </row>
    <row r="68" spans="1:31">
      <c r="A68" s="20" t="s">
        <v>223</v>
      </c>
      <c r="B68" s="16" t="s">
        <v>224</v>
      </c>
      <c r="C68" t="s">
        <v>225</v>
      </c>
      <c r="D68" t="s">
        <v>75</v>
      </c>
      <c r="E68" t="s">
        <v>19</v>
      </c>
      <c r="F68">
        <v>26</v>
      </c>
      <c r="G68" t="s">
        <v>43</v>
      </c>
      <c r="H68" t="s">
        <v>44</v>
      </c>
      <c r="I68" t="s">
        <v>30</v>
      </c>
      <c r="J68" t="s">
        <v>76</v>
      </c>
      <c r="K68">
        <v>4</v>
      </c>
      <c r="L68">
        <v>2464</v>
      </c>
      <c r="M68">
        <v>0</v>
      </c>
      <c r="N68">
        <v>9856</v>
      </c>
      <c r="O68" s="22" t="s">
        <v>65</v>
      </c>
      <c r="Q68" s="48" t="str" cm="1">
        <f t="array" ref="Q68:AE133">_xlfn._xlws.FILTER(A2:O151,N2:N151&gt;10000)</f>
        <v>R138</v>
      </c>
      <c r="R68" s="48" t="str">
        <v>19-05-2025</v>
      </c>
      <c r="S68" s="48" t="str">
        <v>C238</v>
      </c>
      <c r="T68" s="48" t="str">
        <v>Manoj</v>
      </c>
      <c r="U68" s="48" t="str">
        <v>M</v>
      </c>
      <c r="V68" s="48">
        <v>42</v>
      </c>
      <c r="W68" s="48" t="str">
        <v>Chandigarh</v>
      </c>
      <c r="X68" s="48" t="str">
        <v>Chandigarh</v>
      </c>
      <c r="Y68" s="48" t="str">
        <v>Furniture</v>
      </c>
      <c r="Z68" s="48" t="str">
        <v>Study Table</v>
      </c>
      <c r="AA68" s="48">
        <v>5</v>
      </c>
      <c r="AB68" s="48">
        <v>7873</v>
      </c>
      <c r="AC68" s="48">
        <v>5</v>
      </c>
      <c r="AD68" s="48">
        <v>37396.75</v>
      </c>
      <c r="AE68" s="48" t="str">
        <v>Debit Card</v>
      </c>
    </row>
    <row r="69" spans="1:31">
      <c r="A69" s="20" t="s">
        <v>178</v>
      </c>
      <c r="B69" s="16" t="s">
        <v>179</v>
      </c>
      <c r="C69" t="s">
        <v>180</v>
      </c>
      <c r="D69" t="s">
        <v>69</v>
      </c>
      <c r="E69" t="s">
        <v>37</v>
      </c>
      <c r="F69">
        <v>39</v>
      </c>
      <c r="G69" t="s">
        <v>28</v>
      </c>
      <c r="H69" t="s">
        <v>29</v>
      </c>
      <c r="I69" t="s">
        <v>21</v>
      </c>
      <c r="J69" t="s">
        <v>22</v>
      </c>
      <c r="K69">
        <v>3</v>
      </c>
      <c r="L69">
        <v>3615</v>
      </c>
      <c r="M69">
        <v>10</v>
      </c>
      <c r="N69">
        <v>9760.5</v>
      </c>
      <c r="O69" s="22" t="s">
        <v>23</v>
      </c>
      <c r="Q69" s="48" t="str">
        <v>R067</v>
      </c>
      <c r="R69" s="48" t="str">
        <v>09-03-2025</v>
      </c>
      <c r="S69" s="48" t="str">
        <v>C167</v>
      </c>
      <c r="T69" s="48" t="str">
        <v>Rohit</v>
      </c>
      <c r="U69" s="48" t="str">
        <v>M</v>
      </c>
      <c r="V69" s="48">
        <v>46</v>
      </c>
      <c r="W69" s="48" t="str">
        <v>Lucknow</v>
      </c>
      <c r="X69" s="48" t="str">
        <v>Uttar Pradesh</v>
      </c>
      <c r="Y69" s="48" t="str">
        <v>Furniture</v>
      </c>
      <c r="Z69" s="48" t="str">
        <v>Office Chair</v>
      </c>
      <c r="AA69" s="48">
        <v>5</v>
      </c>
      <c r="AB69" s="48">
        <v>7448</v>
      </c>
      <c r="AC69" s="48">
        <v>0</v>
      </c>
      <c r="AD69" s="48">
        <v>37240</v>
      </c>
      <c r="AE69" s="48" t="str">
        <v>Debit Card</v>
      </c>
    </row>
    <row r="70" spans="1:31">
      <c r="A70" s="20" t="s">
        <v>126</v>
      </c>
      <c r="B70" s="16" t="s">
        <v>127</v>
      </c>
      <c r="C70" t="s">
        <v>128</v>
      </c>
      <c r="D70" t="s">
        <v>18</v>
      </c>
      <c r="E70" t="s">
        <v>19</v>
      </c>
      <c r="F70">
        <v>24</v>
      </c>
      <c r="G70" t="s">
        <v>20</v>
      </c>
      <c r="H70" t="s">
        <v>20</v>
      </c>
      <c r="I70" t="s">
        <v>21</v>
      </c>
      <c r="J70" t="s">
        <v>129</v>
      </c>
      <c r="K70">
        <v>5</v>
      </c>
      <c r="L70">
        <v>2286</v>
      </c>
      <c r="M70">
        <v>15</v>
      </c>
      <c r="N70">
        <v>9715.5</v>
      </c>
      <c r="O70" s="22" t="s">
        <v>65</v>
      </c>
      <c r="Q70" s="48" t="str">
        <v>R052</v>
      </c>
      <c r="R70" s="48" t="str">
        <v>22-02-2025</v>
      </c>
      <c r="S70" s="48" t="str">
        <v>C152</v>
      </c>
      <c r="T70" s="48" t="str">
        <v>Swati</v>
      </c>
      <c r="U70" s="48" t="str">
        <v>F</v>
      </c>
      <c r="V70" s="48">
        <v>27</v>
      </c>
      <c r="W70" s="48" t="str">
        <v>Chandigarh</v>
      </c>
      <c r="X70" s="48" t="str">
        <v>Chandigarh</v>
      </c>
      <c r="Y70" s="48" t="str">
        <v>Electronics</v>
      </c>
      <c r="Z70" s="48" t="str">
        <v>Smart Watch</v>
      </c>
      <c r="AA70" s="48">
        <v>5</v>
      </c>
      <c r="AB70" s="48">
        <v>6912</v>
      </c>
      <c r="AC70" s="48">
        <v>0</v>
      </c>
      <c r="AD70" s="48">
        <v>34560</v>
      </c>
      <c r="AE70" s="48" t="str">
        <v>UPI</v>
      </c>
    </row>
    <row r="71" spans="1:31">
      <c r="A71" s="20" t="s">
        <v>153</v>
      </c>
      <c r="B71" s="16" t="s">
        <v>154</v>
      </c>
      <c r="C71" t="s">
        <v>155</v>
      </c>
      <c r="D71" t="s">
        <v>69</v>
      </c>
      <c r="E71" t="s">
        <v>37</v>
      </c>
      <c r="F71">
        <v>35</v>
      </c>
      <c r="G71" t="s">
        <v>50</v>
      </c>
      <c r="H71" t="s">
        <v>51</v>
      </c>
      <c r="I71" t="s">
        <v>30</v>
      </c>
      <c r="J71" t="s">
        <v>52</v>
      </c>
      <c r="K71">
        <v>2</v>
      </c>
      <c r="L71">
        <v>5106</v>
      </c>
      <c r="M71">
        <v>5</v>
      </c>
      <c r="N71">
        <v>9701.4</v>
      </c>
      <c r="O71" s="22" t="s">
        <v>61</v>
      </c>
      <c r="Q71" s="48" t="str">
        <v>R145</v>
      </c>
      <c r="R71" s="48" t="str">
        <v>26-05-2025</v>
      </c>
      <c r="S71" s="48" t="str">
        <v>C245</v>
      </c>
      <c r="T71" s="48" t="str">
        <v>Meena</v>
      </c>
      <c r="U71" s="48" t="str">
        <v>F</v>
      </c>
      <c r="V71" s="48">
        <v>45</v>
      </c>
      <c r="W71" s="48" t="str">
        <v>Jaipur</v>
      </c>
      <c r="X71" s="48" t="str">
        <v>Rajasthan</v>
      </c>
      <c r="Y71" s="48" t="str">
        <v>Groceries</v>
      </c>
      <c r="Z71" s="48" t="str">
        <v>Sugar</v>
      </c>
      <c r="AA71" s="48">
        <v>5</v>
      </c>
      <c r="AB71" s="48">
        <v>6803</v>
      </c>
      <c r="AC71" s="48">
        <v>0</v>
      </c>
      <c r="AD71" s="48">
        <v>34015</v>
      </c>
      <c r="AE71" s="48" t="str">
        <v>Cash</v>
      </c>
    </row>
    <row r="72" spans="1:31">
      <c r="A72" s="20" t="s">
        <v>24</v>
      </c>
      <c r="B72" s="16" t="s">
        <v>25</v>
      </c>
      <c r="C72" t="s">
        <v>26</v>
      </c>
      <c r="D72" t="s">
        <v>27</v>
      </c>
      <c r="E72" t="s">
        <v>19</v>
      </c>
      <c r="F72">
        <v>23</v>
      </c>
      <c r="G72" t="s">
        <v>28</v>
      </c>
      <c r="H72" t="s">
        <v>29</v>
      </c>
      <c r="I72" t="s">
        <v>30</v>
      </c>
      <c r="J72" t="s">
        <v>31</v>
      </c>
      <c r="K72">
        <v>3</v>
      </c>
      <c r="L72">
        <v>3380</v>
      </c>
      <c r="M72">
        <v>5</v>
      </c>
      <c r="N72">
        <v>9633</v>
      </c>
      <c r="O72" s="22" t="s">
        <v>32</v>
      </c>
      <c r="Q72" s="48" t="str">
        <v>R012</v>
      </c>
      <c r="R72" s="48" t="str">
        <v>13-01-2025</v>
      </c>
      <c r="S72" s="48" t="str">
        <v>C112</v>
      </c>
      <c r="T72" s="48" t="str">
        <v>Priya</v>
      </c>
      <c r="U72" s="48" t="str">
        <v>F</v>
      </c>
      <c r="V72" s="48">
        <v>44</v>
      </c>
      <c r="W72" s="48" t="str">
        <v>Kolkata</v>
      </c>
      <c r="X72" s="48" t="str">
        <v>West Bengal</v>
      </c>
      <c r="Y72" s="48" t="str">
        <v>Electronics</v>
      </c>
      <c r="Z72" s="48" t="str">
        <v>Smart Watch</v>
      </c>
      <c r="AA72" s="48">
        <v>5</v>
      </c>
      <c r="AB72" s="48">
        <v>7377</v>
      </c>
      <c r="AC72" s="48">
        <v>10</v>
      </c>
      <c r="AD72" s="48">
        <v>33196.5</v>
      </c>
      <c r="AE72" s="48" t="str">
        <v>UPI</v>
      </c>
    </row>
    <row r="73" spans="1:31">
      <c r="A73" s="20" t="s">
        <v>525</v>
      </c>
      <c r="B73" s="16" t="s">
        <v>526</v>
      </c>
      <c r="C73" t="s">
        <v>527</v>
      </c>
      <c r="D73" t="s">
        <v>91</v>
      </c>
      <c r="E73" t="s">
        <v>37</v>
      </c>
      <c r="F73">
        <v>47</v>
      </c>
      <c r="G73" t="s">
        <v>70</v>
      </c>
      <c r="H73" t="s">
        <v>70</v>
      </c>
      <c r="I73" t="s">
        <v>59</v>
      </c>
      <c r="J73" t="s">
        <v>110</v>
      </c>
      <c r="K73">
        <v>2</v>
      </c>
      <c r="L73">
        <v>4813</v>
      </c>
      <c r="M73">
        <v>0</v>
      </c>
      <c r="N73">
        <v>9626</v>
      </c>
      <c r="O73" s="22" t="s">
        <v>23</v>
      </c>
      <c r="Q73" s="48" t="str">
        <v>R072</v>
      </c>
      <c r="R73" s="48" t="str">
        <v>14-03-2025</v>
      </c>
      <c r="S73" s="48" t="str">
        <v>C172</v>
      </c>
      <c r="T73" s="48" t="str">
        <v>Meena</v>
      </c>
      <c r="U73" s="48" t="str">
        <v>F</v>
      </c>
      <c r="V73" s="48">
        <v>36</v>
      </c>
      <c r="W73" s="48" t="str">
        <v>Jaipur</v>
      </c>
      <c r="X73" s="48" t="str">
        <v>Rajasthan</v>
      </c>
      <c r="Y73" s="48" t="str">
        <v>Groceries</v>
      </c>
      <c r="Z73" s="48" t="str">
        <v>Cooking Oil</v>
      </c>
      <c r="AA73" s="48">
        <v>5</v>
      </c>
      <c r="AB73" s="48">
        <v>6616</v>
      </c>
      <c r="AC73" s="48">
        <v>0</v>
      </c>
      <c r="AD73" s="48">
        <v>33080</v>
      </c>
      <c r="AE73" s="48" t="str">
        <v>Cash</v>
      </c>
    </row>
    <row r="74" spans="1:31">
      <c r="A74" s="20" t="s">
        <v>296</v>
      </c>
      <c r="B74" s="16" t="s">
        <v>297</v>
      </c>
      <c r="C74" t="s">
        <v>298</v>
      </c>
      <c r="D74" t="s">
        <v>125</v>
      </c>
      <c r="E74" t="s">
        <v>37</v>
      </c>
      <c r="F74">
        <v>47</v>
      </c>
      <c r="G74" t="s">
        <v>38</v>
      </c>
      <c r="H74" t="s">
        <v>39</v>
      </c>
      <c r="I74" t="s">
        <v>30</v>
      </c>
      <c r="J74" t="s">
        <v>96</v>
      </c>
      <c r="K74">
        <v>4</v>
      </c>
      <c r="L74">
        <v>2580</v>
      </c>
      <c r="M74">
        <v>10</v>
      </c>
      <c r="N74">
        <v>9288</v>
      </c>
      <c r="O74" s="22" t="s">
        <v>61</v>
      </c>
      <c r="Q74" s="48" t="str">
        <v>R041</v>
      </c>
      <c r="R74" s="48" t="str">
        <v>11-02-2025</v>
      </c>
      <c r="S74" s="48" t="str">
        <v>C141</v>
      </c>
      <c r="T74" s="48" t="str">
        <v>Neha</v>
      </c>
      <c r="U74" s="48" t="str">
        <v>F</v>
      </c>
      <c r="V74" s="48">
        <v>32</v>
      </c>
      <c r="W74" s="48" t="str">
        <v>Bhopal</v>
      </c>
      <c r="X74" s="48" t="str">
        <v>Madhya Pradesh</v>
      </c>
      <c r="Y74" s="48" t="str">
        <v>Electronics</v>
      </c>
      <c r="Z74" s="48" t="str">
        <v>Bluetooth Speaker</v>
      </c>
      <c r="AA74" s="48">
        <v>5</v>
      </c>
      <c r="AB74" s="48">
        <v>6474</v>
      </c>
      <c r="AC74" s="48">
        <v>10</v>
      </c>
      <c r="AD74" s="48">
        <v>29133</v>
      </c>
      <c r="AE74" s="48" t="str">
        <v>Debit Card</v>
      </c>
    </row>
    <row r="75" spans="1:31">
      <c r="A75" s="20" t="s">
        <v>53</v>
      </c>
      <c r="B75" s="16" t="s">
        <v>54</v>
      </c>
      <c r="C75" t="s">
        <v>55</v>
      </c>
      <c r="D75" t="s">
        <v>56</v>
      </c>
      <c r="E75" t="s">
        <v>37</v>
      </c>
      <c r="F75">
        <v>20</v>
      </c>
      <c r="G75" t="s">
        <v>57</v>
      </c>
      <c r="H75" t="s">
        <v>58</v>
      </c>
      <c r="I75" t="s">
        <v>59</v>
      </c>
      <c r="J75" t="s">
        <v>60</v>
      </c>
      <c r="K75">
        <v>5</v>
      </c>
      <c r="L75">
        <v>2058</v>
      </c>
      <c r="M75">
        <v>10</v>
      </c>
      <c r="N75">
        <v>9261</v>
      </c>
      <c r="O75" s="22" t="s">
        <v>61</v>
      </c>
      <c r="Q75" s="48" t="str">
        <v>R033</v>
      </c>
      <c r="R75" s="48" t="str">
        <v>03-02-2025</v>
      </c>
      <c r="S75" s="48" t="str">
        <v>C133</v>
      </c>
      <c r="T75" s="48" t="str">
        <v>Ritu</v>
      </c>
      <c r="U75" s="48" t="str">
        <v>F</v>
      </c>
      <c r="V75" s="48">
        <v>49</v>
      </c>
      <c r="W75" s="48" t="str">
        <v>Jaipur</v>
      </c>
      <c r="X75" s="48" t="str">
        <v>Rajasthan</v>
      </c>
      <c r="Y75" s="48" t="str">
        <v>Furniture</v>
      </c>
      <c r="Z75" s="48" t="str">
        <v>Office Chair</v>
      </c>
      <c r="AA75" s="48">
        <v>5</v>
      </c>
      <c r="AB75" s="48">
        <v>6440</v>
      </c>
      <c r="AC75" s="48">
        <v>10</v>
      </c>
      <c r="AD75" s="48">
        <v>28980</v>
      </c>
      <c r="AE75" s="48" t="str">
        <v>Credit Card</v>
      </c>
    </row>
    <row r="76" spans="1:31">
      <c r="A76" s="20" t="s">
        <v>444</v>
      </c>
      <c r="B76" s="16" t="s">
        <v>445</v>
      </c>
      <c r="C76" t="s">
        <v>446</v>
      </c>
      <c r="D76" t="s">
        <v>114</v>
      </c>
      <c r="E76" t="s">
        <v>37</v>
      </c>
      <c r="F76">
        <v>50</v>
      </c>
      <c r="G76" t="s">
        <v>100</v>
      </c>
      <c r="H76" t="s">
        <v>101</v>
      </c>
      <c r="I76" t="s">
        <v>83</v>
      </c>
      <c r="J76" t="s">
        <v>84</v>
      </c>
      <c r="K76">
        <v>3</v>
      </c>
      <c r="L76">
        <v>3804</v>
      </c>
      <c r="M76">
        <v>20</v>
      </c>
      <c r="N76">
        <v>9129.6</v>
      </c>
      <c r="O76" s="22" t="s">
        <v>23</v>
      </c>
      <c r="Q76" s="48" t="str">
        <v>R101</v>
      </c>
      <c r="R76" s="48" t="str">
        <v>12-04-2025</v>
      </c>
      <c r="S76" s="48" t="str">
        <v>C201</v>
      </c>
      <c r="T76" s="48" t="str">
        <v>Manoj</v>
      </c>
      <c r="U76" s="48" t="str">
        <v>M</v>
      </c>
      <c r="V76" s="48">
        <v>34</v>
      </c>
      <c r="W76" s="48" t="str">
        <v>Jaipur</v>
      </c>
      <c r="X76" s="48" t="str">
        <v>Rajasthan</v>
      </c>
      <c r="Y76" s="48" t="str">
        <v>Clothing</v>
      </c>
      <c r="Z76" s="48" t="str">
        <v>Formal Shirt</v>
      </c>
      <c r="AA76" s="48">
        <v>5</v>
      </c>
      <c r="AB76" s="48">
        <v>6410</v>
      </c>
      <c r="AC76" s="48">
        <v>10</v>
      </c>
      <c r="AD76" s="48">
        <v>28845</v>
      </c>
      <c r="AE76" s="48" t="str">
        <v>Debit Card</v>
      </c>
    </row>
    <row r="77" spans="1:31">
      <c r="A77" s="20" t="s">
        <v>507</v>
      </c>
      <c r="B77" s="16" t="s">
        <v>508</v>
      </c>
      <c r="C77" t="s">
        <v>509</v>
      </c>
      <c r="D77" t="s">
        <v>253</v>
      </c>
      <c r="E77" t="s">
        <v>37</v>
      </c>
      <c r="F77">
        <v>41</v>
      </c>
      <c r="G77" t="s">
        <v>100</v>
      </c>
      <c r="H77" t="s">
        <v>101</v>
      </c>
      <c r="I77" t="s">
        <v>59</v>
      </c>
      <c r="J77" t="s">
        <v>71</v>
      </c>
      <c r="K77">
        <v>2</v>
      </c>
      <c r="L77">
        <v>5273</v>
      </c>
      <c r="M77">
        <v>15</v>
      </c>
      <c r="N77">
        <v>8964.1</v>
      </c>
      <c r="O77" s="22" t="s">
        <v>32</v>
      </c>
      <c r="Q77" s="48" t="str">
        <v>R055</v>
      </c>
      <c r="R77" s="48" t="str">
        <v>25-02-2025</v>
      </c>
      <c r="S77" s="48" t="str">
        <v>C155</v>
      </c>
      <c r="T77" s="48" t="str">
        <v>Swati</v>
      </c>
      <c r="U77" s="48" t="str">
        <v>F</v>
      </c>
      <c r="V77" s="48">
        <v>46</v>
      </c>
      <c r="W77" s="48" t="str">
        <v>Chandigarh</v>
      </c>
      <c r="X77" s="48" t="str">
        <v>Chandigarh</v>
      </c>
      <c r="Y77" s="48" t="str">
        <v>Groceries</v>
      </c>
      <c r="Z77" s="48" t="str">
        <v>Rice Bag</v>
      </c>
      <c r="AA77" s="48">
        <v>5</v>
      </c>
      <c r="AB77" s="48">
        <v>7192</v>
      </c>
      <c r="AC77" s="48">
        <v>20</v>
      </c>
      <c r="AD77" s="48">
        <v>28768</v>
      </c>
      <c r="AE77" s="48" t="str">
        <v>Debit Card</v>
      </c>
    </row>
    <row r="78" spans="1:31">
      <c r="A78" s="20" t="s">
        <v>275</v>
      </c>
      <c r="B78" s="16" t="s">
        <v>276</v>
      </c>
      <c r="C78" t="s">
        <v>277</v>
      </c>
      <c r="D78" t="s">
        <v>75</v>
      </c>
      <c r="E78" t="s">
        <v>19</v>
      </c>
      <c r="F78">
        <v>35</v>
      </c>
      <c r="G78" t="s">
        <v>28</v>
      </c>
      <c r="H78" t="s">
        <v>29</v>
      </c>
      <c r="I78" t="s">
        <v>21</v>
      </c>
      <c r="J78" t="s">
        <v>197</v>
      </c>
      <c r="K78">
        <v>3</v>
      </c>
      <c r="L78">
        <v>2763</v>
      </c>
      <c r="M78">
        <v>0</v>
      </c>
      <c r="N78">
        <v>8289</v>
      </c>
      <c r="O78" s="22" t="s">
        <v>23</v>
      </c>
      <c r="Q78" s="48" t="str">
        <v>R064</v>
      </c>
      <c r="R78" s="48" t="str">
        <v>06-03-2025</v>
      </c>
      <c r="S78" s="48" t="str">
        <v>C164</v>
      </c>
      <c r="T78" s="48" t="str">
        <v>Deepak</v>
      </c>
      <c r="U78" s="48" t="str">
        <v>M</v>
      </c>
      <c r="V78" s="48">
        <v>33</v>
      </c>
      <c r="W78" s="48" t="str">
        <v>Jaipur</v>
      </c>
      <c r="X78" s="48" t="str">
        <v>Rajasthan</v>
      </c>
      <c r="Y78" s="48" t="str">
        <v>Furniture</v>
      </c>
      <c r="Z78" s="48" t="str">
        <v>Bookshelf</v>
      </c>
      <c r="AA78" s="48">
        <v>5</v>
      </c>
      <c r="AB78" s="48">
        <v>6014</v>
      </c>
      <c r="AC78" s="48">
        <v>5</v>
      </c>
      <c r="AD78" s="48">
        <v>28566.5</v>
      </c>
      <c r="AE78" s="48" t="str">
        <v>UPI</v>
      </c>
    </row>
    <row r="79" spans="1:31">
      <c r="A79" s="20" t="s">
        <v>426</v>
      </c>
      <c r="B79" s="16" t="s">
        <v>427</v>
      </c>
      <c r="C79" t="s">
        <v>428</v>
      </c>
      <c r="D79" t="s">
        <v>18</v>
      </c>
      <c r="E79" t="s">
        <v>19</v>
      </c>
      <c r="F79">
        <v>32</v>
      </c>
      <c r="G79" t="s">
        <v>140</v>
      </c>
      <c r="H79" t="s">
        <v>141</v>
      </c>
      <c r="I79" t="s">
        <v>83</v>
      </c>
      <c r="J79" t="s">
        <v>133</v>
      </c>
      <c r="K79">
        <v>2</v>
      </c>
      <c r="L79">
        <v>4117</v>
      </c>
      <c r="M79">
        <v>0</v>
      </c>
      <c r="N79">
        <v>8234</v>
      </c>
      <c r="O79" s="22" t="s">
        <v>23</v>
      </c>
      <c r="Q79" s="48" t="str">
        <v>R097</v>
      </c>
      <c r="R79" s="48" t="str">
        <v>08-04-2025</v>
      </c>
      <c r="S79" s="48" t="str">
        <v>C197</v>
      </c>
      <c r="T79" s="48" t="str">
        <v>Amit</v>
      </c>
      <c r="U79" s="48" t="str">
        <v>M</v>
      </c>
      <c r="V79" s="48">
        <v>44</v>
      </c>
      <c r="W79" s="48" t="str">
        <v>Kochi</v>
      </c>
      <c r="X79" s="48" t="str">
        <v>Kerala</v>
      </c>
      <c r="Y79" s="48" t="str">
        <v>Furniture</v>
      </c>
      <c r="Z79" s="48" t="str">
        <v>Study Table</v>
      </c>
      <c r="AA79" s="48">
        <v>5</v>
      </c>
      <c r="AB79" s="48">
        <v>6672</v>
      </c>
      <c r="AC79" s="48">
        <v>15</v>
      </c>
      <c r="AD79" s="48">
        <v>28356</v>
      </c>
      <c r="AE79" s="48" t="str">
        <v>Credit Card</v>
      </c>
    </row>
    <row r="80" spans="1:31">
      <c r="A80" s="20" t="s">
        <v>115</v>
      </c>
      <c r="B80" s="16" t="s">
        <v>116</v>
      </c>
      <c r="C80" t="s">
        <v>117</v>
      </c>
      <c r="D80" t="s">
        <v>36</v>
      </c>
      <c r="E80" t="s">
        <v>37</v>
      </c>
      <c r="F80">
        <v>39</v>
      </c>
      <c r="G80" t="s">
        <v>38</v>
      </c>
      <c r="H80" t="s">
        <v>39</v>
      </c>
      <c r="I80" t="s">
        <v>83</v>
      </c>
      <c r="J80" t="s">
        <v>118</v>
      </c>
      <c r="K80">
        <v>3</v>
      </c>
      <c r="L80">
        <v>3426</v>
      </c>
      <c r="M80">
        <v>20</v>
      </c>
      <c r="N80">
        <v>8222.4</v>
      </c>
      <c r="O80" s="22" t="s">
        <v>32</v>
      </c>
      <c r="Q80" s="48" t="str">
        <v>R092</v>
      </c>
      <c r="R80" s="48" t="str">
        <v>03-04-2025</v>
      </c>
      <c r="S80" s="48" t="str">
        <v>C192</v>
      </c>
      <c r="T80" s="48" t="str">
        <v>Deepak</v>
      </c>
      <c r="U80" s="48" t="str">
        <v>M</v>
      </c>
      <c r="V80" s="48">
        <v>37</v>
      </c>
      <c r="W80" s="48" t="str">
        <v>Ahmedabad</v>
      </c>
      <c r="X80" s="48" t="str">
        <v>Gujrat</v>
      </c>
      <c r="Y80" s="48" t="str">
        <v>Electronics</v>
      </c>
      <c r="Z80" s="48" t="str">
        <v>Headphones</v>
      </c>
      <c r="AA80" s="48">
        <v>5</v>
      </c>
      <c r="AB80" s="48">
        <v>6990</v>
      </c>
      <c r="AC80" s="48">
        <v>20</v>
      </c>
      <c r="AD80" s="48">
        <v>27960</v>
      </c>
      <c r="AE80" s="48" t="str">
        <v>Debit Card</v>
      </c>
    </row>
    <row r="81" spans="1:31">
      <c r="A81" s="20" t="s">
        <v>450</v>
      </c>
      <c r="B81" s="16" t="s">
        <v>451</v>
      </c>
      <c r="C81" t="s">
        <v>452</v>
      </c>
      <c r="D81" t="s">
        <v>91</v>
      </c>
      <c r="E81" t="s">
        <v>37</v>
      </c>
      <c r="F81">
        <v>20</v>
      </c>
      <c r="G81" t="s">
        <v>100</v>
      </c>
      <c r="H81" t="s">
        <v>101</v>
      </c>
      <c r="I81" t="s">
        <v>21</v>
      </c>
      <c r="J81" t="s">
        <v>22</v>
      </c>
      <c r="K81">
        <v>2</v>
      </c>
      <c r="L81">
        <v>4231</v>
      </c>
      <c r="M81">
        <v>5</v>
      </c>
      <c r="N81">
        <v>8038.9</v>
      </c>
      <c r="O81" s="22" t="s">
        <v>61</v>
      </c>
      <c r="Q81" s="48" t="str">
        <v>R148</v>
      </c>
      <c r="R81" s="48" t="str">
        <v>29-05-2025</v>
      </c>
      <c r="S81" s="48" t="str">
        <v>C248</v>
      </c>
      <c r="T81" s="48" t="str">
        <v>Arjun</v>
      </c>
      <c r="U81" s="48" t="str">
        <v>M</v>
      </c>
      <c r="V81" s="48">
        <v>28</v>
      </c>
      <c r="W81" s="48" t="str">
        <v>Mumbai</v>
      </c>
      <c r="X81" s="48" t="str">
        <v>Maharashtra</v>
      </c>
      <c r="Y81" s="48" t="str">
        <v>Furniture</v>
      </c>
      <c r="Z81" s="48" t="str">
        <v>Side Table</v>
      </c>
      <c r="AA81" s="48">
        <v>5</v>
      </c>
      <c r="AB81" s="48">
        <v>6136</v>
      </c>
      <c r="AC81" s="48">
        <v>10</v>
      </c>
      <c r="AD81" s="48">
        <v>27612</v>
      </c>
      <c r="AE81" s="48" t="str">
        <v>Debit Card</v>
      </c>
    </row>
    <row r="82" spans="1:31">
      <c r="A82" s="20" t="s">
        <v>441</v>
      </c>
      <c r="B82" s="16" t="s">
        <v>442</v>
      </c>
      <c r="C82" t="s">
        <v>443</v>
      </c>
      <c r="D82" t="s">
        <v>75</v>
      </c>
      <c r="E82" t="s">
        <v>19</v>
      </c>
      <c r="F82">
        <v>44</v>
      </c>
      <c r="G82" t="s">
        <v>100</v>
      </c>
      <c r="H82" t="s">
        <v>101</v>
      </c>
      <c r="I82" t="s">
        <v>59</v>
      </c>
      <c r="J82" t="s">
        <v>71</v>
      </c>
      <c r="K82">
        <v>2</v>
      </c>
      <c r="L82">
        <v>4397</v>
      </c>
      <c r="M82">
        <v>10</v>
      </c>
      <c r="N82">
        <v>7914.6</v>
      </c>
      <c r="O82" s="22" t="s">
        <v>23</v>
      </c>
      <c r="Q82" s="48" t="str">
        <v>R096</v>
      </c>
      <c r="R82" s="48" t="str">
        <v>07-04-2025</v>
      </c>
      <c r="S82" s="48" t="str">
        <v>C196</v>
      </c>
      <c r="T82" s="48" t="str">
        <v>Rohit</v>
      </c>
      <c r="U82" s="48" t="str">
        <v>M</v>
      </c>
      <c r="V82" s="48">
        <v>34</v>
      </c>
      <c r="W82" s="48" t="str">
        <v>Chandigarh</v>
      </c>
      <c r="X82" s="48" t="str">
        <v>Chandigarh</v>
      </c>
      <c r="Y82" s="48" t="str">
        <v>Furniture</v>
      </c>
      <c r="Z82" s="48" t="str">
        <v>Side Table</v>
      </c>
      <c r="AA82" s="48">
        <v>5</v>
      </c>
      <c r="AB82" s="48">
        <v>5635</v>
      </c>
      <c r="AC82" s="48">
        <v>5</v>
      </c>
      <c r="AD82" s="48">
        <v>26766.25</v>
      </c>
      <c r="AE82" s="48" t="str">
        <v>Cash</v>
      </c>
    </row>
    <row r="83" spans="1:31">
      <c r="A83" s="20" t="s">
        <v>501</v>
      </c>
      <c r="B83" s="16" t="s">
        <v>502</v>
      </c>
      <c r="C83" t="s">
        <v>503</v>
      </c>
      <c r="D83" t="s">
        <v>36</v>
      </c>
      <c r="E83" t="s">
        <v>37</v>
      </c>
      <c r="F83">
        <v>39</v>
      </c>
      <c r="G83" t="s">
        <v>100</v>
      </c>
      <c r="H83" t="s">
        <v>101</v>
      </c>
      <c r="I83" t="s">
        <v>21</v>
      </c>
      <c r="J83" t="s">
        <v>190</v>
      </c>
      <c r="K83">
        <v>5</v>
      </c>
      <c r="L83">
        <v>1727</v>
      </c>
      <c r="M83">
        <v>15</v>
      </c>
      <c r="N83">
        <v>7339.75</v>
      </c>
      <c r="O83" s="22" t="s">
        <v>65</v>
      </c>
      <c r="Q83" s="48" t="str">
        <v>R095</v>
      </c>
      <c r="R83" s="48" t="str">
        <v>06-04-2025</v>
      </c>
      <c r="S83" s="48" t="str">
        <v>C195</v>
      </c>
      <c r="T83" s="48" t="str">
        <v>Rohit</v>
      </c>
      <c r="U83" s="48" t="str">
        <v>M</v>
      </c>
      <c r="V83" s="48">
        <v>37</v>
      </c>
      <c r="W83" s="48" t="str">
        <v>Kochi</v>
      </c>
      <c r="X83" s="48" t="str">
        <v>Kerala</v>
      </c>
      <c r="Y83" s="48" t="str">
        <v>Electronics</v>
      </c>
      <c r="Z83" s="48" t="str">
        <v>Bluetooth Speaker</v>
      </c>
      <c r="AA83" s="48">
        <v>4</v>
      </c>
      <c r="AB83" s="48">
        <v>6985</v>
      </c>
      <c r="AC83" s="48">
        <v>5</v>
      </c>
      <c r="AD83" s="48">
        <v>26543</v>
      </c>
      <c r="AE83" s="48" t="str">
        <v>Credit Card</v>
      </c>
    </row>
    <row r="84" spans="1:31">
      <c r="A84" s="20" t="s">
        <v>254</v>
      </c>
      <c r="B84" s="16" t="s">
        <v>255</v>
      </c>
      <c r="C84" t="s">
        <v>256</v>
      </c>
      <c r="D84" t="s">
        <v>159</v>
      </c>
      <c r="E84" t="s">
        <v>19</v>
      </c>
      <c r="F84">
        <v>47</v>
      </c>
      <c r="G84" t="s">
        <v>140</v>
      </c>
      <c r="H84" t="s">
        <v>141</v>
      </c>
      <c r="I84" t="s">
        <v>30</v>
      </c>
      <c r="J84" t="s">
        <v>45</v>
      </c>
      <c r="K84">
        <v>2</v>
      </c>
      <c r="L84">
        <v>3844</v>
      </c>
      <c r="M84">
        <v>5</v>
      </c>
      <c r="N84">
        <v>7303.6</v>
      </c>
      <c r="O84" s="22" t="s">
        <v>23</v>
      </c>
      <c r="Q84" s="48" t="str">
        <v>R032</v>
      </c>
      <c r="R84" s="48" t="str">
        <v>02-02-2025</v>
      </c>
      <c r="S84" s="48" t="str">
        <v>C132</v>
      </c>
      <c r="T84" s="48" t="str">
        <v>Ritu</v>
      </c>
      <c r="U84" s="48" t="str">
        <v>F</v>
      </c>
      <c r="V84" s="48">
        <v>43</v>
      </c>
      <c r="W84" s="48" t="str">
        <v>Ahmedabad</v>
      </c>
      <c r="X84" s="48" t="str">
        <v>Gujrat</v>
      </c>
      <c r="Y84" s="48" t="str">
        <v>Groceries</v>
      </c>
      <c r="Z84" s="48" t="str">
        <v>Sugar</v>
      </c>
      <c r="AA84" s="48">
        <v>5</v>
      </c>
      <c r="AB84" s="48">
        <v>6436</v>
      </c>
      <c r="AC84" s="48">
        <v>20</v>
      </c>
      <c r="AD84" s="48">
        <v>25744</v>
      </c>
      <c r="AE84" s="48" t="str">
        <v>Cash</v>
      </c>
    </row>
    <row r="85" spans="1:31">
      <c r="A85" s="20" t="s">
        <v>187</v>
      </c>
      <c r="B85" s="16" t="s">
        <v>188</v>
      </c>
      <c r="C85" t="s">
        <v>189</v>
      </c>
      <c r="D85" t="s">
        <v>159</v>
      </c>
      <c r="E85" t="s">
        <v>19</v>
      </c>
      <c r="F85">
        <v>36</v>
      </c>
      <c r="G85" t="s">
        <v>140</v>
      </c>
      <c r="H85" t="s">
        <v>141</v>
      </c>
      <c r="I85" t="s">
        <v>21</v>
      </c>
      <c r="J85" t="s">
        <v>190</v>
      </c>
      <c r="K85">
        <v>3</v>
      </c>
      <c r="L85">
        <v>2835</v>
      </c>
      <c r="M85">
        <v>15</v>
      </c>
      <c r="N85">
        <v>7229.25</v>
      </c>
      <c r="O85" s="22" t="s">
        <v>23</v>
      </c>
      <c r="Q85" s="48" t="str">
        <v>R120</v>
      </c>
      <c r="R85" s="48" t="str">
        <v>01-05-2025</v>
      </c>
      <c r="S85" s="48" t="str">
        <v>C220</v>
      </c>
      <c r="T85" s="48" t="str">
        <v>Meena</v>
      </c>
      <c r="U85" s="48" t="str">
        <v>F</v>
      </c>
      <c r="V85" s="48">
        <v>29</v>
      </c>
      <c r="W85" s="48" t="str">
        <v>Kochi</v>
      </c>
      <c r="X85" s="48" t="str">
        <v>Kerala</v>
      </c>
      <c r="Y85" s="48" t="str">
        <v>Groceries</v>
      </c>
      <c r="Z85" s="48" t="str">
        <v>Wheat Flour</v>
      </c>
      <c r="AA85" s="48">
        <v>5</v>
      </c>
      <c r="AB85" s="48">
        <v>6057</v>
      </c>
      <c r="AC85" s="48">
        <v>15</v>
      </c>
      <c r="AD85" s="48">
        <v>25742.25</v>
      </c>
      <c r="AE85" s="48" t="str">
        <v>Debit Card</v>
      </c>
    </row>
    <row r="86" spans="1:31">
      <c r="A86" s="20" t="s">
        <v>372</v>
      </c>
      <c r="B86" s="16" t="s">
        <v>373</v>
      </c>
      <c r="C86" t="s">
        <v>374</v>
      </c>
      <c r="D86" t="s">
        <v>91</v>
      </c>
      <c r="E86" t="s">
        <v>37</v>
      </c>
      <c r="F86">
        <v>25</v>
      </c>
      <c r="G86" t="s">
        <v>38</v>
      </c>
      <c r="H86" t="s">
        <v>39</v>
      </c>
      <c r="I86" t="s">
        <v>30</v>
      </c>
      <c r="J86" t="s">
        <v>52</v>
      </c>
      <c r="K86">
        <v>2</v>
      </c>
      <c r="L86">
        <v>4370</v>
      </c>
      <c r="M86">
        <v>20</v>
      </c>
      <c r="N86">
        <v>6992</v>
      </c>
      <c r="O86" s="22" t="s">
        <v>61</v>
      </c>
      <c r="Q86" s="48" t="str">
        <v>R014</v>
      </c>
      <c r="R86" s="48" t="str">
        <v>15-01-2025</v>
      </c>
      <c r="S86" s="48" t="str">
        <v>C114</v>
      </c>
      <c r="T86" s="48" t="str">
        <v>Pooja</v>
      </c>
      <c r="U86" s="48" t="str">
        <v>F</v>
      </c>
      <c r="V86" s="48">
        <v>28</v>
      </c>
      <c r="W86" s="48" t="str">
        <v>Patna</v>
      </c>
      <c r="X86" s="48" t="str">
        <v>Bihar</v>
      </c>
      <c r="Y86" s="48" t="str">
        <v>Groceries</v>
      </c>
      <c r="Z86" s="48" t="str">
        <v>Wheat Flour</v>
      </c>
      <c r="AA86" s="48">
        <v>4</v>
      </c>
      <c r="AB86" s="48">
        <v>6200</v>
      </c>
      <c r="AC86" s="48">
        <v>0</v>
      </c>
      <c r="AD86" s="48">
        <v>24800</v>
      </c>
      <c r="AE86" s="48" t="str">
        <v>UPI</v>
      </c>
    </row>
    <row r="87" spans="1:31">
      <c r="A87" s="20" t="s">
        <v>468</v>
      </c>
      <c r="B87" s="16" t="s">
        <v>469</v>
      </c>
      <c r="C87" t="s">
        <v>470</v>
      </c>
      <c r="D87" t="s">
        <v>69</v>
      </c>
      <c r="E87" t="s">
        <v>37</v>
      </c>
      <c r="F87">
        <v>42</v>
      </c>
      <c r="G87" t="s">
        <v>20</v>
      </c>
      <c r="H87" t="s">
        <v>20</v>
      </c>
      <c r="I87" t="s">
        <v>83</v>
      </c>
      <c r="J87" t="s">
        <v>164</v>
      </c>
      <c r="K87">
        <v>3</v>
      </c>
      <c r="L87">
        <v>2431</v>
      </c>
      <c r="M87">
        <v>5</v>
      </c>
      <c r="N87">
        <v>6928.35</v>
      </c>
      <c r="O87" s="22" t="s">
        <v>61</v>
      </c>
      <c r="Q87" s="48" t="str">
        <v>R093</v>
      </c>
      <c r="R87" s="48" t="str">
        <v>04-04-2025</v>
      </c>
      <c r="S87" s="48" t="str">
        <v>C193</v>
      </c>
      <c r="T87" s="48" t="str">
        <v>Vikram</v>
      </c>
      <c r="U87" s="48" t="str">
        <v>M</v>
      </c>
      <c r="V87" s="48">
        <v>31</v>
      </c>
      <c r="W87" s="48" t="str">
        <v>Lucknow</v>
      </c>
      <c r="X87" s="48" t="str">
        <v>Uttar Pradesh</v>
      </c>
      <c r="Y87" s="48" t="str">
        <v>Clothing</v>
      </c>
      <c r="Z87" s="48" t="str">
        <v>T-Shirt</v>
      </c>
      <c r="AA87" s="48">
        <v>5</v>
      </c>
      <c r="AB87" s="48">
        <v>5364</v>
      </c>
      <c r="AC87" s="48">
        <v>10</v>
      </c>
      <c r="AD87" s="48">
        <v>24138</v>
      </c>
      <c r="AE87" s="48" t="str">
        <v>Credit Card</v>
      </c>
    </row>
    <row r="88" spans="1:31">
      <c r="A88" s="20" t="s">
        <v>211</v>
      </c>
      <c r="B88" s="16" t="s">
        <v>212</v>
      </c>
      <c r="C88" t="s">
        <v>213</v>
      </c>
      <c r="D88" t="s">
        <v>109</v>
      </c>
      <c r="E88" t="s">
        <v>19</v>
      </c>
      <c r="F88">
        <v>47</v>
      </c>
      <c r="G88" t="s">
        <v>50</v>
      </c>
      <c r="H88" t="s">
        <v>51</v>
      </c>
      <c r="I88" t="s">
        <v>21</v>
      </c>
      <c r="J88" t="s">
        <v>22</v>
      </c>
      <c r="K88">
        <v>1</v>
      </c>
      <c r="L88">
        <v>7619</v>
      </c>
      <c r="M88">
        <v>10</v>
      </c>
      <c r="N88">
        <v>6857.1</v>
      </c>
      <c r="O88" s="22" t="s">
        <v>23</v>
      </c>
      <c r="Q88" s="48" t="str">
        <v>R039</v>
      </c>
      <c r="R88" s="48" t="str">
        <v>09-02-2025</v>
      </c>
      <c r="S88" s="48" t="str">
        <v>C139</v>
      </c>
      <c r="T88" s="48" t="str">
        <v>Kajal</v>
      </c>
      <c r="U88" s="48" t="str">
        <v>F</v>
      </c>
      <c r="V88" s="48">
        <v>25</v>
      </c>
      <c r="W88" s="48" t="str">
        <v>Kochi</v>
      </c>
      <c r="X88" s="48" t="str">
        <v>Kerala</v>
      </c>
      <c r="Y88" s="48" t="str">
        <v>Clothing</v>
      </c>
      <c r="Z88" s="48" t="str">
        <v>Jeans</v>
      </c>
      <c r="AA88" s="48">
        <v>4</v>
      </c>
      <c r="AB88" s="48">
        <v>7527</v>
      </c>
      <c r="AC88" s="48">
        <v>20</v>
      </c>
      <c r="AD88" s="48">
        <v>24086.4</v>
      </c>
      <c r="AE88" s="48" t="str">
        <v>Debit Card</v>
      </c>
    </row>
    <row r="89" spans="1:31">
      <c r="A89" s="20" t="s">
        <v>417</v>
      </c>
      <c r="B89" s="16" t="s">
        <v>418</v>
      </c>
      <c r="C89" t="s">
        <v>419</v>
      </c>
      <c r="D89" t="s">
        <v>27</v>
      </c>
      <c r="E89" t="s">
        <v>19</v>
      </c>
      <c r="F89">
        <v>38</v>
      </c>
      <c r="G89" t="s">
        <v>81</v>
      </c>
      <c r="H89" t="s">
        <v>82</v>
      </c>
      <c r="I89" t="s">
        <v>59</v>
      </c>
      <c r="J89" t="s">
        <v>110</v>
      </c>
      <c r="K89">
        <v>3</v>
      </c>
      <c r="L89">
        <v>2847</v>
      </c>
      <c r="M89">
        <v>20</v>
      </c>
      <c r="N89">
        <v>6832.8</v>
      </c>
      <c r="O89" s="22" t="s">
        <v>23</v>
      </c>
      <c r="Q89" s="48" t="str">
        <v>R077</v>
      </c>
      <c r="R89" s="48" t="str">
        <v>19-03-2025</v>
      </c>
      <c r="S89" s="48" t="str">
        <v>C177</v>
      </c>
      <c r="T89" s="48" t="str">
        <v>Kajal</v>
      </c>
      <c r="U89" s="48" t="str">
        <v>F</v>
      </c>
      <c r="V89" s="48">
        <v>22</v>
      </c>
      <c r="W89" s="48" t="str">
        <v>Bhopal</v>
      </c>
      <c r="X89" s="48" t="str">
        <v>Madhya Pradesh</v>
      </c>
      <c r="Y89" s="48" t="str">
        <v>Groceries</v>
      </c>
      <c r="Z89" s="48" t="str">
        <v>Cooking Oil</v>
      </c>
      <c r="AA89" s="48">
        <v>3</v>
      </c>
      <c r="AB89" s="48">
        <v>7592</v>
      </c>
      <c r="AC89" s="48">
        <v>0</v>
      </c>
      <c r="AD89" s="48">
        <v>22776</v>
      </c>
      <c r="AE89" s="48" t="str">
        <v>UPI</v>
      </c>
    </row>
    <row r="90" spans="1:31">
      <c r="A90" s="20" t="s">
        <v>477</v>
      </c>
      <c r="B90" s="16" t="s">
        <v>478</v>
      </c>
      <c r="C90" t="s">
        <v>479</v>
      </c>
      <c r="D90" t="s">
        <v>114</v>
      </c>
      <c r="E90" t="s">
        <v>37</v>
      </c>
      <c r="F90">
        <v>42</v>
      </c>
      <c r="G90" t="s">
        <v>28</v>
      </c>
      <c r="H90" t="s">
        <v>29</v>
      </c>
      <c r="I90" t="s">
        <v>21</v>
      </c>
      <c r="J90" t="s">
        <v>190</v>
      </c>
      <c r="K90">
        <v>5</v>
      </c>
      <c r="L90">
        <v>1436</v>
      </c>
      <c r="M90">
        <v>5</v>
      </c>
      <c r="N90">
        <v>6821</v>
      </c>
      <c r="O90" s="22" t="s">
        <v>23</v>
      </c>
      <c r="Q90" s="48" t="str">
        <v>R013</v>
      </c>
      <c r="R90" s="48" t="str">
        <v>14-01-2025</v>
      </c>
      <c r="S90" s="48" t="str">
        <v>C113</v>
      </c>
      <c r="T90" s="48" t="str">
        <v>Arjun</v>
      </c>
      <c r="U90" s="48" t="str">
        <v>M</v>
      </c>
      <c r="V90" s="48">
        <v>44</v>
      </c>
      <c r="W90" s="48" t="str">
        <v>Mumbai</v>
      </c>
      <c r="X90" s="48" t="str">
        <v>Maharashtra</v>
      </c>
      <c r="Y90" s="48" t="str">
        <v>Clothing</v>
      </c>
      <c r="Z90" s="48" t="str">
        <v>Kurti</v>
      </c>
      <c r="AA90" s="48">
        <v>4</v>
      </c>
      <c r="AB90" s="48">
        <v>6272</v>
      </c>
      <c r="AC90" s="48">
        <v>10</v>
      </c>
      <c r="AD90" s="48">
        <v>22579.2</v>
      </c>
      <c r="AE90" s="48" t="str">
        <v>Credit Card</v>
      </c>
    </row>
    <row r="91" spans="1:31">
      <c r="A91" s="20" t="s">
        <v>208</v>
      </c>
      <c r="B91" s="16" t="s">
        <v>209</v>
      </c>
      <c r="C91" t="s">
        <v>210</v>
      </c>
      <c r="D91" t="s">
        <v>91</v>
      </c>
      <c r="E91" t="s">
        <v>37</v>
      </c>
      <c r="F91">
        <v>23</v>
      </c>
      <c r="G91" t="s">
        <v>50</v>
      </c>
      <c r="H91" t="s">
        <v>51</v>
      </c>
      <c r="I91" t="s">
        <v>59</v>
      </c>
      <c r="J91" t="s">
        <v>60</v>
      </c>
      <c r="K91">
        <v>1</v>
      </c>
      <c r="L91">
        <v>7464</v>
      </c>
      <c r="M91">
        <v>10</v>
      </c>
      <c r="N91">
        <v>6717.6</v>
      </c>
      <c r="O91" s="22" t="s">
        <v>32</v>
      </c>
      <c r="Q91" s="48" t="str">
        <v>R091</v>
      </c>
      <c r="R91" s="48" t="str">
        <v>02-04-2025</v>
      </c>
      <c r="S91" s="48" t="str">
        <v>C191</v>
      </c>
      <c r="T91" s="48" t="str">
        <v>Anita</v>
      </c>
      <c r="U91" s="48" t="str">
        <v>F</v>
      </c>
      <c r="V91" s="48">
        <v>25</v>
      </c>
      <c r="W91" s="48" t="str">
        <v>Ahmedabad</v>
      </c>
      <c r="X91" s="48" t="str">
        <v>Gujrat</v>
      </c>
      <c r="Y91" s="48" t="str">
        <v>Electronics</v>
      </c>
      <c r="Z91" s="48" t="str">
        <v>Bluetooth Speaker</v>
      </c>
      <c r="AA91" s="48">
        <v>4</v>
      </c>
      <c r="AB91" s="48">
        <v>5937</v>
      </c>
      <c r="AC91" s="48">
        <v>5</v>
      </c>
      <c r="AD91" s="48">
        <v>22560.6</v>
      </c>
      <c r="AE91" s="48" t="str">
        <v>UPI</v>
      </c>
    </row>
    <row r="92" spans="1:31">
      <c r="A92" s="20" t="s">
        <v>384</v>
      </c>
      <c r="B92" s="16" t="s">
        <v>385</v>
      </c>
      <c r="C92" t="s">
        <v>386</v>
      </c>
      <c r="D92" t="s">
        <v>204</v>
      </c>
      <c r="E92" t="s">
        <v>37</v>
      </c>
      <c r="F92">
        <v>48</v>
      </c>
      <c r="G92" t="s">
        <v>43</v>
      </c>
      <c r="H92" t="s">
        <v>44</v>
      </c>
      <c r="I92" t="s">
        <v>83</v>
      </c>
      <c r="J92" t="s">
        <v>133</v>
      </c>
      <c r="K92">
        <v>1</v>
      </c>
      <c r="L92">
        <v>7273</v>
      </c>
      <c r="M92">
        <v>10</v>
      </c>
      <c r="N92">
        <v>6545.7</v>
      </c>
      <c r="O92" s="22" t="s">
        <v>65</v>
      </c>
      <c r="Q92" s="48" t="str">
        <v>R082</v>
      </c>
      <c r="R92" s="48" t="str">
        <v>24-03-2025</v>
      </c>
      <c r="S92" s="48" t="str">
        <v>C182</v>
      </c>
      <c r="T92" s="48" t="str">
        <v>Amit</v>
      </c>
      <c r="U92" s="48" t="str">
        <v>M</v>
      </c>
      <c r="V92" s="48">
        <v>21</v>
      </c>
      <c r="W92" s="48" t="str">
        <v>Kochi</v>
      </c>
      <c r="X92" s="48" t="str">
        <v>Kerala</v>
      </c>
      <c r="Y92" s="48" t="str">
        <v>Groceries</v>
      </c>
      <c r="Z92" s="48" t="str">
        <v>Sugar</v>
      </c>
      <c r="AA92" s="48">
        <v>3</v>
      </c>
      <c r="AB92" s="48">
        <v>7598</v>
      </c>
      <c r="AC92" s="48">
        <v>5</v>
      </c>
      <c r="AD92" s="48">
        <v>21654.3</v>
      </c>
      <c r="AE92" s="48" t="str">
        <v>Debit Card</v>
      </c>
    </row>
    <row r="93" spans="1:31">
      <c r="A93" s="20" t="s">
        <v>235</v>
      </c>
      <c r="B93" s="16" t="s">
        <v>236</v>
      </c>
      <c r="C93" t="s">
        <v>237</v>
      </c>
      <c r="D93" t="s">
        <v>18</v>
      </c>
      <c r="E93" t="s">
        <v>19</v>
      </c>
      <c r="F93">
        <v>26</v>
      </c>
      <c r="G93" t="s">
        <v>50</v>
      </c>
      <c r="H93" t="s">
        <v>51</v>
      </c>
      <c r="I93" t="s">
        <v>30</v>
      </c>
      <c r="J93" t="s">
        <v>52</v>
      </c>
      <c r="K93">
        <v>1</v>
      </c>
      <c r="L93">
        <v>7586</v>
      </c>
      <c r="M93">
        <v>15</v>
      </c>
      <c r="N93">
        <v>6448.1</v>
      </c>
      <c r="O93" s="22" t="s">
        <v>32</v>
      </c>
      <c r="Q93" s="48" t="str">
        <v>R118</v>
      </c>
      <c r="R93" s="48" t="str">
        <v>29-04-2025</v>
      </c>
      <c r="S93" s="48" t="str">
        <v>C218</v>
      </c>
      <c r="T93" s="48" t="str">
        <v>Sonali</v>
      </c>
      <c r="U93" s="48" t="str">
        <v>F</v>
      </c>
      <c r="V93" s="48">
        <v>44</v>
      </c>
      <c r="W93" s="48" t="str">
        <v>Bhopal</v>
      </c>
      <c r="X93" s="48" t="str">
        <v>Madhya Pradesh</v>
      </c>
      <c r="Y93" s="48" t="str">
        <v>Electronics</v>
      </c>
      <c r="Z93" s="48" t="str">
        <v>Headphones</v>
      </c>
      <c r="AA93" s="48">
        <v>3</v>
      </c>
      <c r="AB93" s="48">
        <v>7363</v>
      </c>
      <c r="AC93" s="48">
        <v>5</v>
      </c>
      <c r="AD93" s="48">
        <v>20984.55</v>
      </c>
      <c r="AE93" s="48" t="str">
        <v>UPI</v>
      </c>
    </row>
    <row r="94" spans="1:31">
      <c r="A94" s="20" t="s">
        <v>217</v>
      </c>
      <c r="B94" s="16" t="s">
        <v>218</v>
      </c>
      <c r="C94" t="s">
        <v>219</v>
      </c>
      <c r="D94" t="s">
        <v>204</v>
      </c>
      <c r="E94" t="s">
        <v>37</v>
      </c>
      <c r="F94">
        <v>40</v>
      </c>
      <c r="G94" t="s">
        <v>57</v>
      </c>
      <c r="H94" t="s">
        <v>58</v>
      </c>
      <c r="I94" t="s">
        <v>21</v>
      </c>
      <c r="J94" t="s">
        <v>197</v>
      </c>
      <c r="K94">
        <v>1</v>
      </c>
      <c r="L94">
        <v>6578</v>
      </c>
      <c r="M94">
        <v>5</v>
      </c>
      <c r="N94">
        <v>6249.1</v>
      </c>
      <c r="O94" s="22" t="s">
        <v>65</v>
      </c>
      <c r="Q94" s="48" t="str">
        <v>R084</v>
      </c>
      <c r="R94" s="48" t="str">
        <v>26-03-2025</v>
      </c>
      <c r="S94" s="48" t="str">
        <v>C184</v>
      </c>
      <c r="T94" s="48" t="str">
        <v>Swati</v>
      </c>
      <c r="U94" s="48" t="str">
        <v>F</v>
      </c>
      <c r="V94" s="48">
        <v>43</v>
      </c>
      <c r="W94" s="48" t="str">
        <v>Kolkata</v>
      </c>
      <c r="X94" s="48" t="str">
        <v>West Bengal</v>
      </c>
      <c r="Y94" s="48" t="str">
        <v>Clothing</v>
      </c>
      <c r="Z94" s="48" t="str">
        <v>Jeans</v>
      </c>
      <c r="AA94" s="48">
        <v>4</v>
      </c>
      <c r="AB94" s="48">
        <v>6171</v>
      </c>
      <c r="AC94" s="48">
        <v>15</v>
      </c>
      <c r="AD94" s="48">
        <v>20981.4</v>
      </c>
      <c r="AE94" s="48" t="str">
        <v>Credit Card</v>
      </c>
    </row>
    <row r="95" spans="1:31">
      <c r="A95" s="20" t="s">
        <v>462</v>
      </c>
      <c r="B95" s="16" t="s">
        <v>463</v>
      </c>
      <c r="C95" t="s">
        <v>464</v>
      </c>
      <c r="D95" t="s">
        <v>253</v>
      </c>
      <c r="E95" t="s">
        <v>37</v>
      </c>
      <c r="F95">
        <v>48</v>
      </c>
      <c r="G95" t="s">
        <v>70</v>
      </c>
      <c r="H95" t="s">
        <v>70</v>
      </c>
      <c r="I95" t="s">
        <v>21</v>
      </c>
      <c r="J95" t="s">
        <v>129</v>
      </c>
      <c r="K95">
        <v>1</v>
      </c>
      <c r="L95">
        <v>6514</v>
      </c>
      <c r="M95">
        <v>5</v>
      </c>
      <c r="N95">
        <v>6188.3</v>
      </c>
      <c r="O95" s="22" t="s">
        <v>23</v>
      </c>
      <c r="Q95" s="48" t="str">
        <v>R129</v>
      </c>
      <c r="R95" s="48" t="str">
        <v>10-05-2025</v>
      </c>
      <c r="S95" s="48" t="str">
        <v>C229</v>
      </c>
      <c r="T95" s="48" t="str">
        <v>Sonali</v>
      </c>
      <c r="U95" s="48" t="str">
        <v>F</v>
      </c>
      <c r="V95" s="48">
        <v>27</v>
      </c>
      <c r="W95" s="48" t="str">
        <v>Kolkata</v>
      </c>
      <c r="X95" s="48" t="str">
        <v>West Bengal</v>
      </c>
      <c r="Y95" s="48" t="str">
        <v>Furniture</v>
      </c>
      <c r="Z95" s="48" t="str">
        <v>Side Table</v>
      </c>
      <c r="AA95" s="48">
        <v>3</v>
      </c>
      <c r="AB95" s="48">
        <v>6931</v>
      </c>
      <c r="AC95" s="48">
        <v>0</v>
      </c>
      <c r="AD95" s="48">
        <v>20793</v>
      </c>
      <c r="AE95" s="48" t="str">
        <v>Debit Card</v>
      </c>
    </row>
    <row r="96" spans="1:31">
      <c r="A96" s="20" t="s">
        <v>453</v>
      </c>
      <c r="B96" s="16" t="s">
        <v>454</v>
      </c>
      <c r="C96" t="s">
        <v>455</v>
      </c>
      <c r="D96" t="s">
        <v>114</v>
      </c>
      <c r="E96" t="s">
        <v>37</v>
      </c>
      <c r="F96">
        <v>45</v>
      </c>
      <c r="G96" t="s">
        <v>100</v>
      </c>
      <c r="H96" t="s">
        <v>101</v>
      </c>
      <c r="I96" t="s">
        <v>59</v>
      </c>
      <c r="J96" t="s">
        <v>71</v>
      </c>
      <c r="K96">
        <v>2</v>
      </c>
      <c r="L96">
        <v>3254</v>
      </c>
      <c r="M96">
        <v>5</v>
      </c>
      <c r="N96">
        <v>6182.6</v>
      </c>
      <c r="O96" s="22" t="s">
        <v>23</v>
      </c>
      <c r="Q96" s="48" t="str">
        <v>R040</v>
      </c>
      <c r="R96" s="48" t="str">
        <v>10-02-2025</v>
      </c>
      <c r="S96" s="48" t="str">
        <v>C140</v>
      </c>
      <c r="T96" s="48" t="str">
        <v>Swati</v>
      </c>
      <c r="U96" s="48" t="str">
        <v>F</v>
      </c>
      <c r="V96" s="48">
        <v>39</v>
      </c>
      <c r="W96" s="48" t="str">
        <v>Delhi</v>
      </c>
      <c r="X96" s="48" t="str">
        <v>Delhi</v>
      </c>
      <c r="Y96" s="48" t="str">
        <v>Furniture</v>
      </c>
      <c r="Z96" s="48" t="str">
        <v>Bookshelf</v>
      </c>
      <c r="AA96" s="48">
        <v>5</v>
      </c>
      <c r="AB96" s="48">
        <v>4784</v>
      </c>
      <c r="AC96" s="48">
        <v>15</v>
      </c>
      <c r="AD96" s="48">
        <v>20332</v>
      </c>
      <c r="AE96" s="48" t="str">
        <v>Cash</v>
      </c>
    </row>
    <row r="97" spans="1:31">
      <c r="A97" s="20" t="s">
        <v>333</v>
      </c>
      <c r="B97" s="16" t="s">
        <v>334</v>
      </c>
      <c r="C97" t="s">
        <v>335</v>
      </c>
      <c r="D97" t="s">
        <v>253</v>
      </c>
      <c r="E97" t="s">
        <v>37</v>
      </c>
      <c r="F97">
        <v>48</v>
      </c>
      <c r="G97" t="s">
        <v>50</v>
      </c>
      <c r="H97" t="s">
        <v>51</v>
      </c>
      <c r="I97" t="s">
        <v>59</v>
      </c>
      <c r="J97" t="s">
        <v>110</v>
      </c>
      <c r="K97">
        <v>5</v>
      </c>
      <c r="L97">
        <v>1263</v>
      </c>
      <c r="M97">
        <v>5</v>
      </c>
      <c r="N97">
        <v>5999.25</v>
      </c>
      <c r="O97" s="22" t="s">
        <v>65</v>
      </c>
      <c r="Q97" s="48" t="str">
        <v>R100</v>
      </c>
      <c r="R97" s="48" t="str">
        <v>11-04-2025</v>
      </c>
      <c r="S97" s="48" t="str">
        <v>C200</v>
      </c>
      <c r="T97" s="48" t="str">
        <v>Sachin</v>
      </c>
      <c r="U97" s="48" t="str">
        <v>M</v>
      </c>
      <c r="V97" s="48">
        <v>45</v>
      </c>
      <c r="W97" s="48" t="str">
        <v>Chandigarh</v>
      </c>
      <c r="X97" s="48" t="str">
        <v>Chandigarh</v>
      </c>
      <c r="Y97" s="48" t="str">
        <v>Clothing</v>
      </c>
      <c r="Z97" s="48" t="str">
        <v>Kurti</v>
      </c>
      <c r="AA97" s="48">
        <v>3</v>
      </c>
      <c r="AB97" s="48">
        <v>6740</v>
      </c>
      <c r="AC97" s="48">
        <v>0</v>
      </c>
      <c r="AD97" s="48">
        <v>20220</v>
      </c>
      <c r="AE97" s="48" t="str">
        <v>Debit Card</v>
      </c>
    </row>
    <row r="98" spans="1:31">
      <c r="A98" s="20" t="s">
        <v>408</v>
      </c>
      <c r="B98" s="16" t="s">
        <v>409</v>
      </c>
      <c r="C98" t="s">
        <v>410</v>
      </c>
      <c r="D98" t="s">
        <v>320</v>
      </c>
      <c r="E98" t="s">
        <v>19</v>
      </c>
      <c r="F98">
        <v>26</v>
      </c>
      <c r="G98" t="s">
        <v>70</v>
      </c>
      <c r="H98" t="s">
        <v>70</v>
      </c>
      <c r="I98" t="s">
        <v>59</v>
      </c>
      <c r="J98" t="s">
        <v>60</v>
      </c>
      <c r="K98">
        <v>1</v>
      </c>
      <c r="L98">
        <v>6308</v>
      </c>
      <c r="M98">
        <v>5</v>
      </c>
      <c r="N98">
        <v>5992.6</v>
      </c>
      <c r="O98" s="22" t="s">
        <v>61</v>
      </c>
      <c r="Q98" s="48" t="str">
        <v>R135</v>
      </c>
      <c r="R98" s="48" t="str">
        <v>16-05-2025</v>
      </c>
      <c r="S98" s="48" t="str">
        <v>C235</v>
      </c>
      <c r="T98" s="48" t="str">
        <v>Vikram</v>
      </c>
      <c r="U98" s="48" t="str">
        <v>M</v>
      </c>
      <c r="V98" s="48">
        <v>36</v>
      </c>
      <c r="W98" s="48" t="str">
        <v>Delhi</v>
      </c>
      <c r="X98" s="48" t="str">
        <v>Delhi</v>
      </c>
      <c r="Y98" s="48" t="str">
        <v>Electronics</v>
      </c>
      <c r="Z98" s="48" t="str">
        <v>Power Bank</v>
      </c>
      <c r="AA98" s="48">
        <v>4</v>
      </c>
      <c r="AB98" s="48">
        <v>5324</v>
      </c>
      <c r="AC98" s="48">
        <v>10</v>
      </c>
      <c r="AD98" s="48">
        <v>19166.4</v>
      </c>
      <c r="AE98" s="48" t="str">
        <v>Cash</v>
      </c>
    </row>
    <row r="99" spans="1:31">
      <c r="A99" s="20" t="s">
        <v>220</v>
      </c>
      <c r="B99" s="16" t="s">
        <v>221</v>
      </c>
      <c r="C99" t="s">
        <v>222</v>
      </c>
      <c r="D99" t="s">
        <v>149</v>
      </c>
      <c r="E99" t="s">
        <v>37</v>
      </c>
      <c r="F99">
        <v>40</v>
      </c>
      <c r="G99" t="s">
        <v>38</v>
      </c>
      <c r="H99" t="s">
        <v>39</v>
      </c>
      <c r="I99" t="s">
        <v>21</v>
      </c>
      <c r="J99" t="s">
        <v>190</v>
      </c>
      <c r="K99">
        <v>3</v>
      </c>
      <c r="L99">
        <v>1977</v>
      </c>
      <c r="M99">
        <v>0</v>
      </c>
      <c r="N99">
        <v>5931</v>
      </c>
      <c r="O99" s="22" t="s">
        <v>32</v>
      </c>
      <c r="Q99" s="48" t="str">
        <v>R020</v>
      </c>
      <c r="R99" s="48" t="str">
        <v>21-01-2025</v>
      </c>
      <c r="S99" s="48" t="str">
        <v>C120</v>
      </c>
      <c r="T99" s="48" t="str">
        <v>Kajal</v>
      </c>
      <c r="U99" s="48" t="str">
        <v>F</v>
      </c>
      <c r="V99" s="48">
        <v>47</v>
      </c>
      <c r="W99" s="48" t="str">
        <v>Chandigarh</v>
      </c>
      <c r="X99" s="48" t="str">
        <v>Chandigarh</v>
      </c>
      <c r="Y99" s="48" t="str">
        <v>Electronics</v>
      </c>
      <c r="Z99" s="48" t="str">
        <v>Smart Watch</v>
      </c>
      <c r="AA99" s="48">
        <v>3</v>
      </c>
      <c r="AB99" s="48">
        <v>7309</v>
      </c>
      <c r="AC99" s="48">
        <v>15</v>
      </c>
      <c r="AD99" s="48">
        <v>18637.95</v>
      </c>
      <c r="AE99" s="48" t="str">
        <v>Credit Card</v>
      </c>
    </row>
    <row r="100" spans="1:31">
      <c r="A100" s="20" t="s">
        <v>260</v>
      </c>
      <c r="B100" s="16" t="s">
        <v>261</v>
      </c>
      <c r="C100" t="s">
        <v>262</v>
      </c>
      <c r="D100" t="s">
        <v>125</v>
      </c>
      <c r="E100" t="s">
        <v>37</v>
      </c>
      <c r="F100">
        <v>20</v>
      </c>
      <c r="G100" t="s">
        <v>20</v>
      </c>
      <c r="H100" t="s">
        <v>20</v>
      </c>
      <c r="I100" t="s">
        <v>30</v>
      </c>
      <c r="J100" t="s">
        <v>45</v>
      </c>
      <c r="K100">
        <v>1</v>
      </c>
      <c r="L100">
        <v>5894</v>
      </c>
      <c r="M100">
        <v>0</v>
      </c>
      <c r="N100">
        <v>5894</v>
      </c>
      <c r="O100" s="22" t="s">
        <v>65</v>
      </c>
      <c r="Q100" s="48" t="str">
        <v>R004</v>
      </c>
      <c r="R100" s="48" t="str">
        <v>05-01-2025</v>
      </c>
      <c r="S100" s="48" t="str">
        <v>C104</v>
      </c>
      <c r="T100" s="48" t="str">
        <v>Rakesh</v>
      </c>
      <c r="U100" s="48" t="str">
        <v>M</v>
      </c>
      <c r="V100" s="48">
        <v>20</v>
      </c>
      <c r="W100" s="48" t="str">
        <v>Ahmedabad</v>
      </c>
      <c r="X100" s="48" t="str">
        <v>Gujrat</v>
      </c>
      <c r="Y100" s="48" t="str">
        <v>Clothing</v>
      </c>
      <c r="Z100" s="48" t="str">
        <v>Formal Shirt</v>
      </c>
      <c r="AA100" s="48">
        <v>4</v>
      </c>
      <c r="AB100" s="48">
        <v>4631</v>
      </c>
      <c r="AC100" s="48">
        <v>0</v>
      </c>
      <c r="AD100" s="48">
        <v>18524</v>
      </c>
      <c r="AE100" s="48" t="str">
        <v>Debit Card</v>
      </c>
    </row>
    <row r="101" spans="1:31">
      <c r="A101" s="20" t="s">
        <v>387</v>
      </c>
      <c r="B101" s="16" t="s">
        <v>388</v>
      </c>
      <c r="C101" t="s">
        <v>389</v>
      </c>
      <c r="D101" t="s">
        <v>69</v>
      </c>
      <c r="E101" t="s">
        <v>37</v>
      </c>
      <c r="F101">
        <v>45</v>
      </c>
      <c r="G101" t="s">
        <v>140</v>
      </c>
      <c r="H101" t="s">
        <v>141</v>
      </c>
      <c r="I101" t="s">
        <v>30</v>
      </c>
      <c r="J101" t="s">
        <v>45</v>
      </c>
      <c r="K101">
        <v>1</v>
      </c>
      <c r="L101">
        <v>5865</v>
      </c>
      <c r="M101">
        <v>0</v>
      </c>
      <c r="N101">
        <v>5865</v>
      </c>
      <c r="O101" s="22" t="s">
        <v>65</v>
      </c>
      <c r="Q101" s="48" t="str">
        <v>R099</v>
      </c>
      <c r="R101" s="48" t="str">
        <v>10-04-2025</v>
      </c>
      <c r="S101" s="48" t="str">
        <v>C199</v>
      </c>
      <c r="T101" s="48" t="str">
        <v>Amit</v>
      </c>
      <c r="U101" s="48" t="str">
        <v>M</v>
      </c>
      <c r="V101" s="48">
        <v>35</v>
      </c>
      <c r="W101" s="48" t="str">
        <v>Bhopal</v>
      </c>
      <c r="X101" s="48" t="str">
        <v>Madhya Pradesh</v>
      </c>
      <c r="Y101" s="48" t="str">
        <v>Clothing</v>
      </c>
      <c r="Z101" s="48" t="str">
        <v>Kurti</v>
      </c>
      <c r="AA101" s="48">
        <v>3</v>
      </c>
      <c r="AB101" s="48">
        <v>7683</v>
      </c>
      <c r="AC101" s="48">
        <v>20</v>
      </c>
      <c r="AD101" s="48">
        <v>18439.2</v>
      </c>
      <c r="AE101" s="48" t="str">
        <v>UPI</v>
      </c>
    </row>
    <row r="102" spans="1:31">
      <c r="A102" s="20" t="s">
        <v>134</v>
      </c>
      <c r="B102" s="16" t="s">
        <v>135</v>
      </c>
      <c r="C102" t="s">
        <v>136</v>
      </c>
      <c r="D102" t="s">
        <v>105</v>
      </c>
      <c r="E102" t="s">
        <v>37</v>
      </c>
      <c r="F102">
        <v>23</v>
      </c>
      <c r="G102" t="s">
        <v>57</v>
      </c>
      <c r="H102" t="s">
        <v>58</v>
      </c>
      <c r="I102" t="s">
        <v>59</v>
      </c>
      <c r="J102" t="s">
        <v>110</v>
      </c>
      <c r="K102">
        <v>3</v>
      </c>
      <c r="L102">
        <v>2435</v>
      </c>
      <c r="M102">
        <v>20</v>
      </c>
      <c r="N102">
        <v>5844</v>
      </c>
      <c r="O102" s="22" t="s">
        <v>65</v>
      </c>
      <c r="Q102" s="48" t="str">
        <v>R126</v>
      </c>
      <c r="R102" s="48" t="str">
        <v>07-05-2025</v>
      </c>
      <c r="S102" s="48" t="str">
        <v>C226</v>
      </c>
      <c r="T102" s="48" t="str">
        <v>Vikram</v>
      </c>
      <c r="U102" s="48" t="str">
        <v>M</v>
      </c>
      <c r="V102" s="48">
        <v>38</v>
      </c>
      <c r="W102" s="48" t="str">
        <v>Lucknow</v>
      </c>
      <c r="X102" s="48" t="str">
        <v>Uttar Pradesh</v>
      </c>
      <c r="Y102" s="48" t="str">
        <v>Furniture</v>
      </c>
      <c r="Z102" s="48" t="str">
        <v>Bookshelf</v>
      </c>
      <c r="AA102" s="48">
        <v>3</v>
      </c>
      <c r="AB102" s="48">
        <v>6295</v>
      </c>
      <c r="AC102" s="48">
        <v>5</v>
      </c>
      <c r="AD102" s="48">
        <v>17940.75</v>
      </c>
      <c r="AE102" s="48" t="str">
        <v>UPI</v>
      </c>
    </row>
    <row r="103" spans="1:31">
      <c r="A103" s="20" t="s">
        <v>411</v>
      </c>
      <c r="B103" s="16" t="s">
        <v>412</v>
      </c>
      <c r="C103" t="s">
        <v>413</v>
      </c>
      <c r="D103" t="s">
        <v>18</v>
      </c>
      <c r="E103" t="s">
        <v>19</v>
      </c>
      <c r="F103">
        <v>44</v>
      </c>
      <c r="G103" t="s">
        <v>20</v>
      </c>
      <c r="H103" t="s">
        <v>20</v>
      </c>
      <c r="I103" t="s">
        <v>83</v>
      </c>
      <c r="J103" t="s">
        <v>164</v>
      </c>
      <c r="K103">
        <v>3</v>
      </c>
      <c r="L103">
        <v>2007</v>
      </c>
      <c r="M103">
        <v>5</v>
      </c>
      <c r="N103">
        <v>5719.95</v>
      </c>
      <c r="O103" s="22" t="s">
        <v>23</v>
      </c>
      <c r="Q103" s="48" t="str">
        <v>R026</v>
      </c>
      <c r="R103" s="48" t="str">
        <v>27-01-2025</v>
      </c>
      <c r="S103" s="48" t="str">
        <v>C126</v>
      </c>
      <c r="T103" s="48" t="str">
        <v>Neha</v>
      </c>
      <c r="U103" s="48" t="str">
        <v>F</v>
      </c>
      <c r="V103" s="48">
        <v>36</v>
      </c>
      <c r="W103" s="48" t="str">
        <v>Bhopal</v>
      </c>
      <c r="X103" s="48" t="str">
        <v>Madhya Pradesh</v>
      </c>
      <c r="Y103" s="48" t="str">
        <v>Clothing</v>
      </c>
      <c r="Z103" s="48" t="str">
        <v>Jacket</v>
      </c>
      <c r="AA103" s="48">
        <v>3</v>
      </c>
      <c r="AB103" s="48">
        <v>5800</v>
      </c>
      <c r="AC103" s="48">
        <v>0</v>
      </c>
      <c r="AD103" s="48">
        <v>17400</v>
      </c>
      <c r="AE103" s="48" t="str">
        <v>Cash</v>
      </c>
    </row>
    <row r="104" spans="1:31">
      <c r="A104" s="20" t="s">
        <v>393</v>
      </c>
      <c r="B104" s="16" t="s">
        <v>394</v>
      </c>
      <c r="C104" t="s">
        <v>395</v>
      </c>
      <c r="D104" t="s">
        <v>253</v>
      </c>
      <c r="E104" t="s">
        <v>37</v>
      </c>
      <c r="F104">
        <v>46</v>
      </c>
      <c r="G104" t="s">
        <v>70</v>
      </c>
      <c r="H104" t="s">
        <v>70</v>
      </c>
      <c r="I104" t="s">
        <v>83</v>
      </c>
      <c r="J104" t="s">
        <v>164</v>
      </c>
      <c r="K104">
        <v>5</v>
      </c>
      <c r="L104">
        <v>1198</v>
      </c>
      <c r="M104">
        <v>5</v>
      </c>
      <c r="N104">
        <v>5690.5</v>
      </c>
      <c r="O104" s="22" t="s">
        <v>23</v>
      </c>
      <c r="Q104" s="48" t="str">
        <v>R015</v>
      </c>
      <c r="R104" s="48" t="str">
        <v>16-01-2025</v>
      </c>
      <c r="S104" s="48" t="str">
        <v>C115</v>
      </c>
      <c r="T104" s="48" t="str">
        <v>Meena</v>
      </c>
      <c r="U104" s="48" t="str">
        <v>F</v>
      </c>
      <c r="V104" s="48">
        <v>38</v>
      </c>
      <c r="W104" s="48" t="str">
        <v>Ahmedabad</v>
      </c>
      <c r="X104" s="48" t="str">
        <v>Gujrat</v>
      </c>
      <c r="Y104" s="48" t="str">
        <v>Electronics</v>
      </c>
      <c r="Z104" s="48" t="str">
        <v>Smart Watch</v>
      </c>
      <c r="AA104" s="48">
        <v>4</v>
      </c>
      <c r="AB104" s="48">
        <v>5435</v>
      </c>
      <c r="AC104" s="48">
        <v>20</v>
      </c>
      <c r="AD104" s="48">
        <v>17392</v>
      </c>
      <c r="AE104" s="48" t="str">
        <v>UPI</v>
      </c>
    </row>
    <row r="105" spans="1:31">
      <c r="A105" s="20" t="s">
        <v>229</v>
      </c>
      <c r="B105" s="16" t="s">
        <v>230</v>
      </c>
      <c r="C105" t="s">
        <v>231</v>
      </c>
      <c r="D105" t="s">
        <v>105</v>
      </c>
      <c r="E105" t="s">
        <v>37</v>
      </c>
      <c r="F105">
        <v>39</v>
      </c>
      <c r="G105" t="s">
        <v>57</v>
      </c>
      <c r="H105" t="s">
        <v>58</v>
      </c>
      <c r="I105" t="s">
        <v>30</v>
      </c>
      <c r="J105" t="s">
        <v>31</v>
      </c>
      <c r="K105">
        <v>2</v>
      </c>
      <c r="L105">
        <v>3284</v>
      </c>
      <c r="M105">
        <v>15</v>
      </c>
      <c r="N105">
        <v>5582.8</v>
      </c>
      <c r="O105" s="22" t="s">
        <v>23</v>
      </c>
      <c r="Q105" s="48" t="str">
        <v>R003</v>
      </c>
      <c r="R105" s="48" t="str">
        <v>04-01-2025</v>
      </c>
      <c r="S105" s="48" t="str">
        <v>C103</v>
      </c>
      <c r="T105" s="48" t="str">
        <v>Anita</v>
      </c>
      <c r="U105" s="48" t="str">
        <v>F</v>
      </c>
      <c r="V105" s="48">
        <v>25</v>
      </c>
      <c r="W105" s="48" t="str">
        <v>Kochi</v>
      </c>
      <c r="X105" s="48" t="str">
        <v>Kerala</v>
      </c>
      <c r="Y105" s="48" t="str">
        <v>Clothing</v>
      </c>
      <c r="Z105" s="48" t="str">
        <v>T-Shirt</v>
      </c>
      <c r="AA105" s="48">
        <v>3</v>
      </c>
      <c r="AB105" s="48">
        <v>5589</v>
      </c>
      <c r="AC105" s="48">
        <v>0</v>
      </c>
      <c r="AD105" s="48">
        <v>16767</v>
      </c>
      <c r="AE105" s="48" t="str">
        <v>Debit Card</v>
      </c>
    </row>
    <row r="106" spans="1:31">
      <c r="A106" s="20" t="s">
        <v>495</v>
      </c>
      <c r="B106" s="16" t="s">
        <v>496</v>
      </c>
      <c r="C106" t="s">
        <v>497</v>
      </c>
      <c r="D106" t="s">
        <v>56</v>
      </c>
      <c r="E106" t="s">
        <v>37</v>
      </c>
      <c r="F106">
        <v>46</v>
      </c>
      <c r="G106" t="s">
        <v>38</v>
      </c>
      <c r="H106" t="s">
        <v>39</v>
      </c>
      <c r="I106" t="s">
        <v>59</v>
      </c>
      <c r="J106" t="s">
        <v>60</v>
      </c>
      <c r="K106">
        <v>2</v>
      </c>
      <c r="L106">
        <v>2779</v>
      </c>
      <c r="M106">
        <v>0</v>
      </c>
      <c r="N106">
        <v>5558</v>
      </c>
      <c r="O106" s="22" t="s">
        <v>65</v>
      </c>
      <c r="Q106" s="48" t="str">
        <v>R042</v>
      </c>
      <c r="R106" s="48" t="str">
        <v>12-02-2025</v>
      </c>
      <c r="S106" s="48" t="str">
        <v>C142</v>
      </c>
      <c r="T106" s="48" t="str">
        <v>Sonali</v>
      </c>
      <c r="U106" s="48" t="str">
        <v>F</v>
      </c>
      <c r="V106" s="48">
        <v>22</v>
      </c>
      <c r="W106" s="48" t="str">
        <v>Bhopal</v>
      </c>
      <c r="X106" s="48" t="str">
        <v>Madhya Pradesh</v>
      </c>
      <c r="Y106" s="48" t="str">
        <v>Clothing</v>
      </c>
      <c r="Z106" s="48" t="str">
        <v>T-Shirt</v>
      </c>
      <c r="AA106" s="48">
        <v>5</v>
      </c>
      <c r="AB106" s="48">
        <v>3694</v>
      </c>
      <c r="AC106" s="48">
        <v>10</v>
      </c>
      <c r="AD106" s="48">
        <v>16623</v>
      </c>
      <c r="AE106" s="48" t="str">
        <v>Credit Card</v>
      </c>
    </row>
    <row r="107" spans="1:31">
      <c r="A107" s="20" t="s">
        <v>302</v>
      </c>
      <c r="B107" s="16" t="s">
        <v>303</v>
      </c>
      <c r="C107" t="s">
        <v>304</v>
      </c>
      <c r="D107" t="s">
        <v>27</v>
      </c>
      <c r="E107" t="s">
        <v>19</v>
      </c>
      <c r="F107">
        <v>42</v>
      </c>
      <c r="G107" t="s">
        <v>43</v>
      </c>
      <c r="H107" t="s">
        <v>44</v>
      </c>
      <c r="I107" t="s">
        <v>30</v>
      </c>
      <c r="J107" t="s">
        <v>96</v>
      </c>
      <c r="K107">
        <v>3</v>
      </c>
      <c r="L107">
        <v>2046</v>
      </c>
      <c r="M107">
        <v>10</v>
      </c>
      <c r="N107">
        <v>5524.2</v>
      </c>
      <c r="O107" s="22" t="s">
        <v>32</v>
      </c>
      <c r="Q107" s="48" t="str">
        <v>R022</v>
      </c>
      <c r="R107" s="48" t="str">
        <v>23-01-2025</v>
      </c>
      <c r="S107" s="48" t="str">
        <v>C122</v>
      </c>
      <c r="T107" s="48" t="str">
        <v>Suman</v>
      </c>
      <c r="U107" s="48" t="str">
        <v>M</v>
      </c>
      <c r="V107" s="48">
        <v>25</v>
      </c>
      <c r="W107" s="48" t="str">
        <v>Patna</v>
      </c>
      <c r="X107" s="48" t="str">
        <v>Bihar</v>
      </c>
      <c r="Y107" s="48" t="str">
        <v>Electronics</v>
      </c>
      <c r="Z107" s="48" t="str">
        <v>Headphones</v>
      </c>
      <c r="AA107" s="48">
        <v>3</v>
      </c>
      <c r="AB107" s="48">
        <v>5782</v>
      </c>
      <c r="AC107" s="48">
        <v>5</v>
      </c>
      <c r="AD107" s="48">
        <v>16478.7</v>
      </c>
      <c r="AE107" s="48" t="str">
        <v>Cash</v>
      </c>
    </row>
    <row r="108" spans="1:31">
      <c r="A108" s="20" t="s">
        <v>321</v>
      </c>
      <c r="B108" s="16" t="s">
        <v>322</v>
      </c>
      <c r="C108" t="s">
        <v>323</v>
      </c>
      <c r="D108" t="s">
        <v>145</v>
      </c>
      <c r="E108" t="s">
        <v>19</v>
      </c>
      <c r="F108">
        <v>30</v>
      </c>
      <c r="G108" t="s">
        <v>140</v>
      </c>
      <c r="H108" t="s">
        <v>141</v>
      </c>
      <c r="I108" t="s">
        <v>83</v>
      </c>
      <c r="J108" t="s">
        <v>118</v>
      </c>
      <c r="K108">
        <v>1</v>
      </c>
      <c r="L108">
        <v>6060</v>
      </c>
      <c r="M108">
        <v>15</v>
      </c>
      <c r="N108">
        <v>5151</v>
      </c>
      <c r="O108" s="22" t="s">
        <v>61</v>
      </c>
      <c r="Q108" s="48" t="str">
        <v>R109</v>
      </c>
      <c r="R108" s="48" t="str">
        <v>20-04-2025</v>
      </c>
      <c r="S108" s="48" t="str">
        <v>C209</v>
      </c>
      <c r="T108" s="48" t="str">
        <v>Sachin</v>
      </c>
      <c r="U108" s="48" t="str">
        <v>M</v>
      </c>
      <c r="V108" s="48">
        <v>46</v>
      </c>
      <c r="W108" s="48" t="str">
        <v>Jaipur</v>
      </c>
      <c r="X108" s="48" t="str">
        <v>Rajasthan</v>
      </c>
      <c r="Y108" s="48" t="str">
        <v>Groceries</v>
      </c>
      <c r="Z108" s="48" t="str">
        <v>Cooking Oil</v>
      </c>
      <c r="AA108" s="48">
        <v>3</v>
      </c>
      <c r="AB108" s="48">
        <v>5308</v>
      </c>
      <c r="AC108" s="48">
        <v>0</v>
      </c>
      <c r="AD108" s="48">
        <v>15924</v>
      </c>
      <c r="AE108" s="48" t="str">
        <v>UPI</v>
      </c>
    </row>
    <row r="109" spans="1:31">
      <c r="A109" s="20" t="s">
        <v>160</v>
      </c>
      <c r="B109" s="16" t="s">
        <v>161</v>
      </c>
      <c r="C109" t="s">
        <v>162</v>
      </c>
      <c r="D109" t="s">
        <v>163</v>
      </c>
      <c r="E109" t="s">
        <v>19</v>
      </c>
      <c r="F109">
        <v>50</v>
      </c>
      <c r="G109" t="s">
        <v>100</v>
      </c>
      <c r="H109" t="s">
        <v>101</v>
      </c>
      <c r="I109" t="s">
        <v>83</v>
      </c>
      <c r="J109" t="s">
        <v>164</v>
      </c>
      <c r="K109">
        <v>3</v>
      </c>
      <c r="L109">
        <v>2000</v>
      </c>
      <c r="M109">
        <v>15</v>
      </c>
      <c r="N109">
        <v>5100</v>
      </c>
      <c r="O109" s="22" t="s">
        <v>61</v>
      </c>
      <c r="Q109" s="48" t="str">
        <v>R131</v>
      </c>
      <c r="R109" s="48" t="str">
        <v>12-05-2025</v>
      </c>
      <c r="S109" s="48" t="str">
        <v>C231</v>
      </c>
      <c r="T109" s="48" t="str">
        <v>Sachin</v>
      </c>
      <c r="U109" s="48" t="str">
        <v>M</v>
      </c>
      <c r="V109" s="48">
        <v>49</v>
      </c>
      <c r="W109" s="48" t="str">
        <v>Jaipur</v>
      </c>
      <c r="X109" s="48" t="str">
        <v>Rajasthan</v>
      </c>
      <c r="Y109" s="48" t="str">
        <v>Furniture</v>
      </c>
      <c r="Z109" s="48" t="str">
        <v>Side Table</v>
      </c>
      <c r="AA109" s="48">
        <v>5</v>
      </c>
      <c r="AB109" s="48">
        <v>3171</v>
      </c>
      <c r="AC109" s="48">
        <v>0</v>
      </c>
      <c r="AD109" s="48">
        <v>15855</v>
      </c>
      <c r="AE109" s="48" t="str">
        <v>Credit Card</v>
      </c>
    </row>
    <row r="110" spans="1:31">
      <c r="A110" s="20" t="s">
        <v>516</v>
      </c>
      <c r="B110" s="16" t="s">
        <v>517</v>
      </c>
      <c r="C110" t="s">
        <v>518</v>
      </c>
      <c r="D110" t="s">
        <v>18</v>
      </c>
      <c r="E110" t="s">
        <v>19</v>
      </c>
      <c r="F110">
        <v>26</v>
      </c>
      <c r="G110" t="s">
        <v>100</v>
      </c>
      <c r="H110" t="s">
        <v>101</v>
      </c>
      <c r="I110" t="s">
        <v>30</v>
      </c>
      <c r="J110" t="s">
        <v>31</v>
      </c>
      <c r="K110">
        <v>5</v>
      </c>
      <c r="L110">
        <v>1023</v>
      </c>
      <c r="M110">
        <v>5</v>
      </c>
      <c r="N110">
        <v>4859.25</v>
      </c>
      <c r="O110" s="22" t="s">
        <v>61</v>
      </c>
      <c r="Q110" s="48" t="str">
        <v>R070</v>
      </c>
      <c r="R110" s="48" t="str">
        <v>12-03-2025</v>
      </c>
      <c r="S110" s="48" t="str">
        <v>C170</v>
      </c>
      <c r="T110" s="48" t="str">
        <v>Vikram</v>
      </c>
      <c r="U110" s="48" t="str">
        <v>M</v>
      </c>
      <c r="V110" s="48">
        <v>48</v>
      </c>
      <c r="W110" s="48" t="str">
        <v>Chandigarh</v>
      </c>
      <c r="X110" s="48" t="str">
        <v>Chandigarh</v>
      </c>
      <c r="Y110" s="48" t="str">
        <v>Furniture</v>
      </c>
      <c r="Z110" s="48" t="str">
        <v>Study Table</v>
      </c>
      <c r="AA110" s="48">
        <v>3</v>
      </c>
      <c r="AB110" s="48">
        <v>6556</v>
      </c>
      <c r="AC110" s="48">
        <v>20</v>
      </c>
      <c r="AD110" s="48">
        <v>15734.4</v>
      </c>
      <c r="AE110" s="48" t="str">
        <v>UPI</v>
      </c>
    </row>
    <row r="111" spans="1:31">
      <c r="A111" s="20" t="s">
        <v>85</v>
      </c>
      <c r="B111" s="16" t="s">
        <v>86</v>
      </c>
      <c r="C111" t="s">
        <v>87</v>
      </c>
      <c r="D111" t="s">
        <v>27</v>
      </c>
      <c r="E111" t="s">
        <v>19</v>
      </c>
      <c r="F111">
        <v>22</v>
      </c>
      <c r="G111" t="s">
        <v>43</v>
      </c>
      <c r="H111" t="s">
        <v>44</v>
      </c>
      <c r="I111" t="s">
        <v>30</v>
      </c>
      <c r="J111" t="s">
        <v>52</v>
      </c>
      <c r="K111">
        <v>1</v>
      </c>
      <c r="L111">
        <v>5984</v>
      </c>
      <c r="M111">
        <v>20</v>
      </c>
      <c r="N111">
        <v>4787.2</v>
      </c>
      <c r="O111" s="22" t="s">
        <v>65</v>
      </c>
      <c r="Q111" s="48" t="str">
        <v>R008</v>
      </c>
      <c r="R111" s="48" t="str">
        <v>09-01-2025</v>
      </c>
      <c r="S111" s="48" t="str">
        <v>C108</v>
      </c>
      <c r="T111" s="48" t="str">
        <v>Pooja</v>
      </c>
      <c r="U111" s="48" t="str">
        <v>F</v>
      </c>
      <c r="V111" s="48">
        <v>31</v>
      </c>
      <c r="W111" s="48" t="str">
        <v>Chandigarh</v>
      </c>
      <c r="X111" s="48" t="str">
        <v>Chandigarh</v>
      </c>
      <c r="Y111" s="48" t="str">
        <v>Groceries</v>
      </c>
      <c r="Z111" s="48" t="str">
        <v>Wheat Flour</v>
      </c>
      <c r="AA111" s="48">
        <v>5</v>
      </c>
      <c r="AB111" s="48">
        <v>3267</v>
      </c>
      <c r="AC111" s="48">
        <v>5</v>
      </c>
      <c r="AD111" s="48">
        <v>15518.25</v>
      </c>
      <c r="AE111" s="48" t="str">
        <v>Debit Card</v>
      </c>
    </row>
    <row r="112" spans="1:31">
      <c r="A112" s="20" t="s">
        <v>459</v>
      </c>
      <c r="B112" s="16" t="s">
        <v>460</v>
      </c>
      <c r="C112" t="s">
        <v>461</v>
      </c>
      <c r="D112" t="s">
        <v>109</v>
      </c>
      <c r="E112" t="s">
        <v>19</v>
      </c>
      <c r="F112">
        <v>41</v>
      </c>
      <c r="G112" t="s">
        <v>70</v>
      </c>
      <c r="H112" t="s">
        <v>70</v>
      </c>
      <c r="I112" t="s">
        <v>21</v>
      </c>
      <c r="J112" t="s">
        <v>129</v>
      </c>
      <c r="K112">
        <v>4</v>
      </c>
      <c r="L112">
        <v>1256</v>
      </c>
      <c r="M112">
        <v>10</v>
      </c>
      <c r="N112">
        <v>4521.6</v>
      </c>
      <c r="O112" s="22" t="s">
        <v>23</v>
      </c>
      <c r="Q112" s="48" t="str">
        <v>R009</v>
      </c>
      <c r="R112" s="48" t="str">
        <v>10-01-2025</v>
      </c>
      <c r="S112" s="48" t="str">
        <v>C109</v>
      </c>
      <c r="T112" s="48" t="str">
        <v>Manoj</v>
      </c>
      <c r="U112" s="48" t="str">
        <v>M</v>
      </c>
      <c r="V112" s="48">
        <v>48</v>
      </c>
      <c r="W112" s="48" t="str">
        <v>Chandigarh</v>
      </c>
      <c r="X112" s="48" t="str">
        <v>Chandigarh</v>
      </c>
      <c r="Y112" s="48" t="str">
        <v>Clothing</v>
      </c>
      <c r="Z112" s="48" t="str">
        <v>Jeans</v>
      </c>
      <c r="AA112" s="48">
        <v>4</v>
      </c>
      <c r="AB112" s="48">
        <v>4493</v>
      </c>
      <c r="AC112" s="48">
        <v>15</v>
      </c>
      <c r="AD112" s="48">
        <v>15276.2</v>
      </c>
      <c r="AE112" s="48" t="str">
        <v>UPI</v>
      </c>
    </row>
    <row r="113" spans="1:31">
      <c r="A113" s="20" t="s">
        <v>486</v>
      </c>
      <c r="B113" s="16" t="s">
        <v>487</v>
      </c>
      <c r="C113" t="s">
        <v>488</v>
      </c>
      <c r="D113" t="s">
        <v>163</v>
      </c>
      <c r="E113" t="s">
        <v>19</v>
      </c>
      <c r="F113">
        <v>23</v>
      </c>
      <c r="G113" t="s">
        <v>57</v>
      </c>
      <c r="H113" t="s">
        <v>58</v>
      </c>
      <c r="I113" t="s">
        <v>59</v>
      </c>
      <c r="J113" t="s">
        <v>171</v>
      </c>
      <c r="K113">
        <v>1</v>
      </c>
      <c r="L113">
        <v>4739</v>
      </c>
      <c r="M113">
        <v>10</v>
      </c>
      <c r="N113">
        <v>4265.1</v>
      </c>
      <c r="O113" s="22" t="s">
        <v>65</v>
      </c>
      <c r="Q113" s="48" t="str">
        <v>R123</v>
      </c>
      <c r="R113" s="48" t="str">
        <v>04-05-2025</v>
      </c>
      <c r="S113" s="48" t="str">
        <v>C223</v>
      </c>
      <c r="T113" s="48" t="str">
        <v>Ritu</v>
      </c>
      <c r="U113" s="48" t="str">
        <v>F</v>
      </c>
      <c r="V113" s="48">
        <v>45</v>
      </c>
      <c r="W113" s="48" t="str">
        <v>Bhopal</v>
      </c>
      <c r="X113" s="48" t="str">
        <v>Madhya Pradesh</v>
      </c>
      <c r="Y113" s="48" t="str">
        <v>Groceries</v>
      </c>
      <c r="Z113" s="48" t="str">
        <v>Sugar</v>
      </c>
      <c r="AA113" s="48">
        <v>4</v>
      </c>
      <c r="AB113" s="48">
        <v>4449</v>
      </c>
      <c r="AC113" s="48">
        <v>15</v>
      </c>
      <c r="AD113" s="48">
        <v>15126.6</v>
      </c>
      <c r="AE113" s="48" t="str">
        <v>Credit Card</v>
      </c>
    </row>
    <row r="114" spans="1:31">
      <c r="A114" s="20" t="s">
        <v>348</v>
      </c>
      <c r="B114" s="16" t="s">
        <v>349</v>
      </c>
      <c r="C114" t="s">
        <v>350</v>
      </c>
      <c r="D114" t="s">
        <v>49</v>
      </c>
      <c r="E114" t="s">
        <v>19</v>
      </c>
      <c r="F114">
        <v>41</v>
      </c>
      <c r="G114" t="s">
        <v>28</v>
      </c>
      <c r="H114" t="s">
        <v>29</v>
      </c>
      <c r="I114" t="s">
        <v>59</v>
      </c>
      <c r="J114" t="s">
        <v>60</v>
      </c>
      <c r="K114">
        <v>1</v>
      </c>
      <c r="L114">
        <v>4252</v>
      </c>
      <c r="M114">
        <v>0</v>
      </c>
      <c r="N114">
        <v>4252</v>
      </c>
      <c r="O114" s="22" t="s">
        <v>61</v>
      </c>
      <c r="Q114" s="48" t="str">
        <v>R115</v>
      </c>
      <c r="R114" s="48" t="str">
        <v>26-04-2025</v>
      </c>
      <c r="S114" s="48" t="str">
        <v>C215</v>
      </c>
      <c r="T114" s="48" t="str">
        <v>Ritu</v>
      </c>
      <c r="U114" s="48" t="str">
        <v>F</v>
      </c>
      <c r="V114" s="48">
        <v>26</v>
      </c>
      <c r="W114" s="48" t="str">
        <v>Patna</v>
      </c>
      <c r="X114" s="48" t="str">
        <v>Bihar</v>
      </c>
      <c r="Y114" s="48" t="str">
        <v>Groceries</v>
      </c>
      <c r="Z114" s="48" t="str">
        <v>Wheat Flour</v>
      </c>
      <c r="AA114" s="48">
        <v>5</v>
      </c>
      <c r="AB114" s="48">
        <v>3685</v>
      </c>
      <c r="AC114" s="48">
        <v>20</v>
      </c>
      <c r="AD114" s="48">
        <v>14740</v>
      </c>
      <c r="AE114" s="48" t="str">
        <v>Credit Card</v>
      </c>
    </row>
    <row r="115" spans="1:31">
      <c r="A115" s="20" t="s">
        <v>345</v>
      </c>
      <c r="B115" s="16" t="s">
        <v>346</v>
      </c>
      <c r="C115" t="s">
        <v>347</v>
      </c>
      <c r="D115" t="s">
        <v>163</v>
      </c>
      <c r="E115" t="s">
        <v>19</v>
      </c>
      <c r="F115">
        <v>30</v>
      </c>
      <c r="G115" t="s">
        <v>28</v>
      </c>
      <c r="H115" t="s">
        <v>29</v>
      </c>
      <c r="I115" t="s">
        <v>83</v>
      </c>
      <c r="J115" t="s">
        <v>133</v>
      </c>
      <c r="K115">
        <v>5</v>
      </c>
      <c r="L115">
        <v>1050</v>
      </c>
      <c r="M115">
        <v>20</v>
      </c>
      <c r="N115">
        <v>4200</v>
      </c>
      <c r="O115" s="22" t="s">
        <v>61</v>
      </c>
      <c r="Q115" s="48" t="str">
        <v>R056</v>
      </c>
      <c r="R115" s="48" t="str">
        <v>26-02-2025</v>
      </c>
      <c r="S115" s="48" t="str">
        <v>C156</v>
      </c>
      <c r="T115" s="48" t="str">
        <v>Rahul</v>
      </c>
      <c r="U115" s="48" t="str">
        <v>M</v>
      </c>
      <c r="V115" s="48">
        <v>34</v>
      </c>
      <c r="W115" s="48" t="str">
        <v>Ahmedabad</v>
      </c>
      <c r="X115" s="48" t="str">
        <v>Gujrat</v>
      </c>
      <c r="Y115" s="48" t="str">
        <v>Groceries</v>
      </c>
      <c r="Z115" s="48" t="str">
        <v>Cooking Oil</v>
      </c>
      <c r="AA115" s="48">
        <v>5</v>
      </c>
      <c r="AB115" s="48">
        <v>2928</v>
      </c>
      <c r="AC115" s="48">
        <v>0</v>
      </c>
      <c r="AD115" s="48">
        <v>14640</v>
      </c>
      <c r="AE115" s="48" t="str">
        <v>Debit Card</v>
      </c>
    </row>
    <row r="116" spans="1:31">
      <c r="A116" s="20" t="s">
        <v>336</v>
      </c>
      <c r="B116" s="16" t="s">
        <v>337</v>
      </c>
      <c r="C116" t="s">
        <v>338</v>
      </c>
      <c r="D116" t="s">
        <v>69</v>
      </c>
      <c r="E116" t="s">
        <v>37</v>
      </c>
      <c r="F116">
        <v>30</v>
      </c>
      <c r="G116" t="s">
        <v>81</v>
      </c>
      <c r="H116" t="s">
        <v>82</v>
      </c>
      <c r="I116" t="s">
        <v>83</v>
      </c>
      <c r="J116" t="s">
        <v>92</v>
      </c>
      <c r="K116">
        <v>3</v>
      </c>
      <c r="L116">
        <v>1616</v>
      </c>
      <c r="M116">
        <v>15</v>
      </c>
      <c r="N116">
        <v>4120.8</v>
      </c>
      <c r="O116" s="22" t="s">
        <v>23</v>
      </c>
      <c r="Q116" s="48" t="str">
        <v>R010</v>
      </c>
      <c r="R116" s="48" t="str">
        <v>11-01-2025</v>
      </c>
      <c r="S116" s="48" t="str">
        <v>C110</v>
      </c>
      <c r="T116" s="48" t="str">
        <v>Rohit</v>
      </c>
      <c r="U116" s="48" t="str">
        <v>M</v>
      </c>
      <c r="V116" s="48">
        <v>37</v>
      </c>
      <c r="W116" s="48" t="str">
        <v>Kolkata</v>
      </c>
      <c r="X116" s="48" t="str">
        <v>West Bengal</v>
      </c>
      <c r="Y116" s="48" t="str">
        <v>Electronics</v>
      </c>
      <c r="Z116" s="48" t="str">
        <v>Power Bank</v>
      </c>
      <c r="AA116" s="48">
        <v>4</v>
      </c>
      <c r="AB116" s="48">
        <v>4100</v>
      </c>
      <c r="AC116" s="48">
        <v>15</v>
      </c>
      <c r="AD116" s="48">
        <v>13940</v>
      </c>
      <c r="AE116" s="48" t="str">
        <v>Debit Card</v>
      </c>
    </row>
    <row r="117" spans="1:31">
      <c r="A117" s="20" t="s">
        <v>327</v>
      </c>
      <c r="B117" s="16" t="s">
        <v>328</v>
      </c>
      <c r="C117" t="s">
        <v>329</v>
      </c>
      <c r="D117" t="s">
        <v>80</v>
      </c>
      <c r="E117" t="s">
        <v>19</v>
      </c>
      <c r="F117">
        <v>25</v>
      </c>
      <c r="G117" t="s">
        <v>57</v>
      </c>
      <c r="H117" t="s">
        <v>58</v>
      </c>
      <c r="I117" t="s">
        <v>83</v>
      </c>
      <c r="J117" t="s">
        <v>92</v>
      </c>
      <c r="K117">
        <v>1</v>
      </c>
      <c r="L117">
        <v>4423</v>
      </c>
      <c r="M117">
        <v>10</v>
      </c>
      <c r="N117">
        <v>3980.7</v>
      </c>
      <c r="O117" s="22" t="s">
        <v>61</v>
      </c>
      <c r="Q117" s="48" t="str">
        <v>R024</v>
      </c>
      <c r="R117" s="48" t="str">
        <v>25-01-2025</v>
      </c>
      <c r="S117" s="48" t="str">
        <v>C124</v>
      </c>
      <c r="T117" s="48" t="str">
        <v>Arjun</v>
      </c>
      <c r="U117" s="48" t="str">
        <v>M</v>
      </c>
      <c r="V117" s="48">
        <v>29</v>
      </c>
      <c r="W117" s="48" t="str">
        <v>Jaipur</v>
      </c>
      <c r="X117" s="48" t="str">
        <v>Rajasthan</v>
      </c>
      <c r="Y117" s="48" t="str">
        <v>Electronics</v>
      </c>
      <c r="Z117" s="48" t="str">
        <v>Router</v>
      </c>
      <c r="AA117" s="48">
        <v>2</v>
      </c>
      <c r="AB117" s="48">
        <v>7432</v>
      </c>
      <c r="AC117" s="48">
        <v>10</v>
      </c>
      <c r="AD117" s="48">
        <v>13377.6</v>
      </c>
      <c r="AE117" s="48" t="str">
        <v>Credit Card</v>
      </c>
    </row>
    <row r="118" spans="1:31">
      <c r="A118" s="20" t="s">
        <v>360</v>
      </c>
      <c r="B118" s="16" t="s">
        <v>361</v>
      </c>
      <c r="C118" t="s">
        <v>362</v>
      </c>
      <c r="D118" t="s">
        <v>69</v>
      </c>
      <c r="E118" t="s">
        <v>37</v>
      </c>
      <c r="F118">
        <v>25</v>
      </c>
      <c r="G118" t="s">
        <v>57</v>
      </c>
      <c r="H118" t="s">
        <v>58</v>
      </c>
      <c r="I118" t="s">
        <v>59</v>
      </c>
      <c r="J118" t="s">
        <v>71</v>
      </c>
      <c r="K118">
        <v>5</v>
      </c>
      <c r="L118">
        <v>856</v>
      </c>
      <c r="M118">
        <v>10</v>
      </c>
      <c r="N118">
        <v>3852</v>
      </c>
      <c r="O118" s="22" t="s">
        <v>65</v>
      </c>
      <c r="Q118" s="48" t="str">
        <v>R140</v>
      </c>
      <c r="R118" s="48" t="str">
        <v>21-05-2025</v>
      </c>
      <c r="S118" s="48" t="str">
        <v>C240</v>
      </c>
      <c r="T118" s="48" t="str">
        <v>Priya</v>
      </c>
      <c r="U118" s="48" t="str">
        <v>F</v>
      </c>
      <c r="V118" s="48">
        <v>48</v>
      </c>
      <c r="W118" s="48" t="str">
        <v>Jaipur</v>
      </c>
      <c r="X118" s="48" t="str">
        <v>Rajasthan</v>
      </c>
      <c r="Y118" s="48" t="str">
        <v>Electronics</v>
      </c>
      <c r="Z118" s="48" t="str">
        <v>Router</v>
      </c>
      <c r="AA118" s="48">
        <v>2</v>
      </c>
      <c r="AB118" s="48">
        <v>7805</v>
      </c>
      <c r="AC118" s="48">
        <v>15</v>
      </c>
      <c r="AD118" s="48">
        <v>13268.5</v>
      </c>
      <c r="AE118" s="48" t="str">
        <v>Cash</v>
      </c>
    </row>
    <row r="119" spans="1:31">
      <c r="A119" s="20" t="s">
        <v>504</v>
      </c>
      <c r="B119" s="16" t="s">
        <v>505</v>
      </c>
      <c r="C119" t="s">
        <v>506</v>
      </c>
      <c r="D119" t="s">
        <v>80</v>
      </c>
      <c r="E119" t="s">
        <v>19</v>
      </c>
      <c r="F119">
        <v>50</v>
      </c>
      <c r="G119" t="s">
        <v>43</v>
      </c>
      <c r="H119" t="s">
        <v>44</v>
      </c>
      <c r="I119" t="s">
        <v>21</v>
      </c>
      <c r="J119" t="s">
        <v>190</v>
      </c>
      <c r="K119">
        <v>5</v>
      </c>
      <c r="L119">
        <v>739</v>
      </c>
      <c r="M119">
        <v>0</v>
      </c>
      <c r="N119">
        <v>3695</v>
      </c>
      <c r="O119" s="22" t="s">
        <v>65</v>
      </c>
      <c r="Q119" s="48" t="str">
        <v>R107</v>
      </c>
      <c r="R119" s="48" t="str">
        <v>18-04-2025</v>
      </c>
      <c r="S119" s="48" t="str">
        <v>C207</v>
      </c>
      <c r="T119" s="48" t="str">
        <v>Pooja</v>
      </c>
      <c r="U119" s="48" t="str">
        <v>F</v>
      </c>
      <c r="V119" s="48">
        <v>35</v>
      </c>
      <c r="W119" s="48" t="str">
        <v>Mumbai</v>
      </c>
      <c r="X119" s="48" t="str">
        <v>Maharashtra</v>
      </c>
      <c r="Y119" s="48" t="str">
        <v>Groceries</v>
      </c>
      <c r="Z119" s="48" t="str">
        <v>Sugar</v>
      </c>
      <c r="AA119" s="48">
        <v>2</v>
      </c>
      <c r="AB119" s="48">
        <v>7619</v>
      </c>
      <c r="AC119" s="48">
        <v>15</v>
      </c>
      <c r="AD119" s="48">
        <v>12952.3</v>
      </c>
      <c r="AE119" s="48" t="str">
        <v>Debit Card</v>
      </c>
    </row>
    <row r="120" spans="1:31">
      <c r="A120" s="20" t="s">
        <v>156</v>
      </c>
      <c r="B120" s="16" t="s">
        <v>157</v>
      </c>
      <c r="C120" t="s">
        <v>158</v>
      </c>
      <c r="D120" t="s">
        <v>159</v>
      </c>
      <c r="E120" t="s">
        <v>19</v>
      </c>
      <c r="F120">
        <v>31</v>
      </c>
      <c r="G120" t="s">
        <v>28</v>
      </c>
      <c r="H120" t="s">
        <v>29</v>
      </c>
      <c r="I120" t="s">
        <v>83</v>
      </c>
      <c r="J120" t="s">
        <v>133</v>
      </c>
      <c r="K120">
        <v>1</v>
      </c>
      <c r="L120">
        <v>4246</v>
      </c>
      <c r="M120">
        <v>15</v>
      </c>
      <c r="N120">
        <v>3609.1</v>
      </c>
      <c r="O120" s="22" t="s">
        <v>61</v>
      </c>
      <c r="Q120" s="48" t="str">
        <v>R134</v>
      </c>
      <c r="R120" s="48" t="str">
        <v>15-05-2025</v>
      </c>
      <c r="S120" s="48" t="str">
        <v>C234</v>
      </c>
      <c r="T120" s="48" t="str">
        <v>Arjun</v>
      </c>
      <c r="U120" s="48" t="str">
        <v>M</v>
      </c>
      <c r="V120" s="48">
        <v>40</v>
      </c>
      <c r="W120" s="48" t="str">
        <v>Lucknow</v>
      </c>
      <c r="X120" s="48" t="str">
        <v>Uttar Pradesh</v>
      </c>
      <c r="Y120" s="48" t="str">
        <v>Furniture</v>
      </c>
      <c r="Z120" s="48" t="str">
        <v>Office Chair</v>
      </c>
      <c r="AA120" s="48">
        <v>2</v>
      </c>
      <c r="AB120" s="48">
        <v>7516</v>
      </c>
      <c r="AC120" s="48">
        <v>15</v>
      </c>
      <c r="AD120" s="48">
        <v>12777.2</v>
      </c>
      <c r="AE120" s="48" t="str">
        <v>UPI</v>
      </c>
    </row>
    <row r="121" spans="1:31">
      <c r="A121" s="20" t="s">
        <v>429</v>
      </c>
      <c r="B121" s="16" t="s">
        <v>430</v>
      </c>
      <c r="C121" t="s">
        <v>431</v>
      </c>
      <c r="D121" t="s">
        <v>320</v>
      </c>
      <c r="E121" t="s">
        <v>19</v>
      </c>
      <c r="F121">
        <v>29</v>
      </c>
      <c r="G121" t="s">
        <v>43</v>
      </c>
      <c r="H121" t="s">
        <v>44</v>
      </c>
      <c r="I121" t="s">
        <v>30</v>
      </c>
      <c r="J121" t="s">
        <v>96</v>
      </c>
      <c r="K121">
        <v>3</v>
      </c>
      <c r="L121">
        <v>1460</v>
      </c>
      <c r="M121">
        <v>20</v>
      </c>
      <c r="N121">
        <v>3504</v>
      </c>
      <c r="O121" s="22" t="s">
        <v>23</v>
      </c>
      <c r="Q121" s="48" t="str">
        <v>R080</v>
      </c>
      <c r="R121" s="48" t="str">
        <v>22-03-2025</v>
      </c>
      <c r="S121" s="48" t="str">
        <v>C180</v>
      </c>
      <c r="T121" s="48" t="str">
        <v>Sachin</v>
      </c>
      <c r="U121" s="48" t="str">
        <v>M</v>
      </c>
      <c r="V121" s="48">
        <v>49</v>
      </c>
      <c r="W121" s="48" t="str">
        <v>Ahmedabad</v>
      </c>
      <c r="X121" s="48" t="str">
        <v>Gujrat</v>
      </c>
      <c r="Y121" s="48" t="str">
        <v>Electronics</v>
      </c>
      <c r="Z121" s="48" t="str">
        <v>Bluetooth Speaker</v>
      </c>
      <c r="AA121" s="48">
        <v>2</v>
      </c>
      <c r="AB121" s="48">
        <v>7090</v>
      </c>
      <c r="AC121" s="48">
        <v>15</v>
      </c>
      <c r="AD121" s="48">
        <v>12053</v>
      </c>
      <c r="AE121" s="48" t="str">
        <v>Credit Card</v>
      </c>
    </row>
    <row r="122" spans="1:31">
      <c r="A122" s="20" t="s">
        <v>339</v>
      </c>
      <c r="B122" s="16" t="s">
        <v>340</v>
      </c>
      <c r="C122" t="s">
        <v>341</v>
      </c>
      <c r="D122" t="s">
        <v>18</v>
      </c>
      <c r="E122" t="s">
        <v>19</v>
      </c>
      <c r="F122">
        <v>48</v>
      </c>
      <c r="G122" t="s">
        <v>43</v>
      </c>
      <c r="H122" t="s">
        <v>44</v>
      </c>
      <c r="I122" t="s">
        <v>21</v>
      </c>
      <c r="J122" t="s">
        <v>129</v>
      </c>
      <c r="K122">
        <v>1</v>
      </c>
      <c r="L122">
        <v>4221</v>
      </c>
      <c r="M122">
        <v>20</v>
      </c>
      <c r="N122">
        <v>3376.8</v>
      </c>
      <c r="O122" s="22" t="s">
        <v>61</v>
      </c>
      <c r="Q122" s="48" t="str">
        <v>R037</v>
      </c>
      <c r="R122" s="48" t="str">
        <v>07-02-2025</v>
      </c>
      <c r="S122" s="48" t="str">
        <v>C137</v>
      </c>
      <c r="T122" s="48" t="str">
        <v>Ritu</v>
      </c>
      <c r="U122" s="48" t="str">
        <v>F</v>
      </c>
      <c r="V122" s="48">
        <v>48</v>
      </c>
      <c r="W122" s="48" t="str">
        <v>Mumbai</v>
      </c>
      <c r="X122" s="48" t="str">
        <v>Maharashtra</v>
      </c>
      <c r="Y122" s="48" t="str">
        <v>Electronics</v>
      </c>
      <c r="Z122" s="48" t="str">
        <v>Smart Watch</v>
      </c>
      <c r="AA122" s="48">
        <v>3</v>
      </c>
      <c r="AB122" s="48">
        <v>5019</v>
      </c>
      <c r="AC122" s="48">
        <v>20</v>
      </c>
      <c r="AD122" s="48">
        <v>12045.6</v>
      </c>
      <c r="AE122" s="48" t="str">
        <v>Cash</v>
      </c>
    </row>
    <row r="123" spans="1:31">
      <c r="A123" s="20" t="s">
        <v>150</v>
      </c>
      <c r="B123" s="16" t="s">
        <v>151</v>
      </c>
      <c r="C123" t="s">
        <v>152</v>
      </c>
      <c r="D123" t="s">
        <v>91</v>
      </c>
      <c r="E123" t="s">
        <v>37</v>
      </c>
      <c r="F123">
        <v>35</v>
      </c>
      <c r="G123" t="s">
        <v>50</v>
      </c>
      <c r="H123" t="s">
        <v>51</v>
      </c>
      <c r="I123" t="s">
        <v>83</v>
      </c>
      <c r="J123" t="s">
        <v>84</v>
      </c>
      <c r="K123">
        <v>3</v>
      </c>
      <c r="L123">
        <v>1232</v>
      </c>
      <c r="M123">
        <v>10</v>
      </c>
      <c r="N123">
        <v>3326.4</v>
      </c>
      <c r="O123" s="22" t="s">
        <v>32</v>
      </c>
      <c r="Q123" s="48" t="str">
        <v>R076</v>
      </c>
      <c r="R123" s="48" t="str">
        <v>18-03-2025</v>
      </c>
      <c r="S123" s="48" t="str">
        <v>C176</v>
      </c>
      <c r="T123" s="48" t="str">
        <v>Suman</v>
      </c>
      <c r="U123" s="48" t="str">
        <v>M</v>
      </c>
      <c r="V123" s="48">
        <v>40</v>
      </c>
      <c r="W123" s="48" t="str">
        <v>Mumbai</v>
      </c>
      <c r="X123" s="48" t="str">
        <v>Maharashtra</v>
      </c>
      <c r="Y123" s="48" t="str">
        <v>Clothing</v>
      </c>
      <c r="Z123" s="48" t="str">
        <v>Jeans</v>
      </c>
      <c r="AA123" s="48">
        <v>2</v>
      </c>
      <c r="AB123" s="48">
        <v>6869</v>
      </c>
      <c r="AC123" s="48">
        <v>15</v>
      </c>
      <c r="AD123" s="48">
        <v>11677.3</v>
      </c>
      <c r="AE123" s="48" t="str">
        <v>Cash</v>
      </c>
    </row>
    <row r="124" spans="1:31">
      <c r="A124" s="20" t="s">
        <v>390</v>
      </c>
      <c r="B124" s="16" t="s">
        <v>391</v>
      </c>
      <c r="C124" t="s">
        <v>392</v>
      </c>
      <c r="D124" t="s">
        <v>204</v>
      </c>
      <c r="E124" t="s">
        <v>37</v>
      </c>
      <c r="F124">
        <v>34</v>
      </c>
      <c r="G124" t="s">
        <v>43</v>
      </c>
      <c r="H124" t="s">
        <v>44</v>
      </c>
      <c r="I124" t="s">
        <v>83</v>
      </c>
      <c r="J124" t="s">
        <v>92</v>
      </c>
      <c r="K124">
        <v>2</v>
      </c>
      <c r="L124">
        <v>1709</v>
      </c>
      <c r="M124">
        <v>5</v>
      </c>
      <c r="N124">
        <v>3247.1</v>
      </c>
      <c r="O124" s="22" t="s">
        <v>23</v>
      </c>
      <c r="Q124" s="48" t="str">
        <v>R058</v>
      </c>
      <c r="R124" s="48" t="str">
        <v>28-02-2025</v>
      </c>
      <c r="S124" s="48" t="str">
        <v>C158</v>
      </c>
      <c r="T124" s="48" t="str">
        <v>Nisha</v>
      </c>
      <c r="U124" s="48" t="str">
        <v>F</v>
      </c>
      <c r="V124" s="48">
        <v>25</v>
      </c>
      <c r="W124" s="48" t="str">
        <v>Bhopal</v>
      </c>
      <c r="X124" s="48" t="str">
        <v>Madhya Pradesh</v>
      </c>
      <c r="Y124" s="48" t="str">
        <v>Furniture</v>
      </c>
      <c r="Z124" s="48" t="str">
        <v>Study Table</v>
      </c>
      <c r="AA124" s="48">
        <v>5</v>
      </c>
      <c r="AB124" s="48">
        <v>2583</v>
      </c>
      <c r="AC124" s="48">
        <v>10</v>
      </c>
      <c r="AD124" s="48">
        <v>11623.5</v>
      </c>
      <c r="AE124" s="48" t="str">
        <v>Cash</v>
      </c>
    </row>
    <row r="125" spans="1:31">
      <c r="A125" s="20" t="s">
        <v>119</v>
      </c>
      <c r="B125" s="16" t="s">
        <v>120</v>
      </c>
      <c r="C125" t="s">
        <v>121</v>
      </c>
      <c r="D125" t="s">
        <v>56</v>
      </c>
      <c r="E125" t="s">
        <v>37</v>
      </c>
      <c r="F125">
        <v>24</v>
      </c>
      <c r="G125" t="s">
        <v>20</v>
      </c>
      <c r="H125" t="s">
        <v>20</v>
      </c>
      <c r="I125" t="s">
        <v>21</v>
      </c>
      <c r="J125" t="s">
        <v>22</v>
      </c>
      <c r="K125">
        <v>1</v>
      </c>
      <c r="L125">
        <v>3343</v>
      </c>
      <c r="M125">
        <v>5</v>
      </c>
      <c r="N125">
        <v>3175.85</v>
      </c>
      <c r="O125" s="22" t="s">
        <v>32</v>
      </c>
      <c r="Q125" s="48" t="str">
        <v>R088</v>
      </c>
      <c r="R125" s="48" t="str">
        <v>30-03-2025</v>
      </c>
      <c r="S125" s="48" t="str">
        <v>C188</v>
      </c>
      <c r="T125" s="48" t="str">
        <v>Ritu</v>
      </c>
      <c r="U125" s="48" t="str">
        <v>F</v>
      </c>
      <c r="V125" s="48">
        <v>30</v>
      </c>
      <c r="W125" s="48" t="str">
        <v>Lucknow</v>
      </c>
      <c r="X125" s="48" t="str">
        <v>Uttar Pradesh</v>
      </c>
      <c r="Y125" s="48" t="str">
        <v>Groceries</v>
      </c>
      <c r="Z125" s="48" t="str">
        <v>Wheat Flour</v>
      </c>
      <c r="AA125" s="48">
        <v>2</v>
      </c>
      <c r="AB125" s="48">
        <v>6410</v>
      </c>
      <c r="AC125" s="48">
        <v>10</v>
      </c>
      <c r="AD125" s="48">
        <v>11538</v>
      </c>
      <c r="AE125" s="48" t="str">
        <v>UPI</v>
      </c>
    </row>
    <row r="126" spans="1:31">
      <c r="A126" s="20" t="s">
        <v>257</v>
      </c>
      <c r="B126" s="16" t="s">
        <v>258</v>
      </c>
      <c r="C126" t="s">
        <v>259</v>
      </c>
      <c r="D126" t="s">
        <v>114</v>
      </c>
      <c r="E126" t="s">
        <v>37</v>
      </c>
      <c r="F126">
        <v>24</v>
      </c>
      <c r="G126" t="s">
        <v>50</v>
      </c>
      <c r="H126" t="s">
        <v>51</v>
      </c>
      <c r="I126" t="s">
        <v>83</v>
      </c>
      <c r="J126" t="s">
        <v>164</v>
      </c>
      <c r="K126">
        <v>1</v>
      </c>
      <c r="L126">
        <v>3324</v>
      </c>
      <c r="M126">
        <v>5</v>
      </c>
      <c r="N126">
        <v>3157.8</v>
      </c>
      <c r="O126" s="22" t="s">
        <v>32</v>
      </c>
      <c r="Q126" s="48" t="str">
        <v>R043</v>
      </c>
      <c r="R126" s="48" t="str">
        <v>13-02-2025</v>
      </c>
      <c r="S126" s="48" t="str">
        <v>C143</v>
      </c>
      <c r="T126" s="48" t="str">
        <v>Suman</v>
      </c>
      <c r="U126" s="48" t="str">
        <v>M</v>
      </c>
      <c r="V126" s="48">
        <v>49</v>
      </c>
      <c r="W126" s="48" t="str">
        <v>Kochi</v>
      </c>
      <c r="X126" s="48" t="str">
        <v>Kerala</v>
      </c>
      <c r="Y126" s="48" t="str">
        <v>Groceries</v>
      </c>
      <c r="Z126" s="48" t="str">
        <v>Sugar</v>
      </c>
      <c r="AA126" s="48">
        <v>5</v>
      </c>
      <c r="AB126" s="48">
        <v>2881</v>
      </c>
      <c r="AC126" s="48">
        <v>20</v>
      </c>
      <c r="AD126" s="48">
        <v>11524</v>
      </c>
      <c r="AE126" s="48" t="str">
        <v>Cash</v>
      </c>
    </row>
    <row r="127" spans="1:31">
      <c r="A127" s="20" t="s">
        <v>46</v>
      </c>
      <c r="B127" s="16" t="s">
        <v>47</v>
      </c>
      <c r="C127" t="s">
        <v>48</v>
      </c>
      <c r="D127" t="s">
        <v>49</v>
      </c>
      <c r="E127" t="s">
        <v>19</v>
      </c>
      <c r="F127">
        <v>43</v>
      </c>
      <c r="G127" t="s">
        <v>50</v>
      </c>
      <c r="H127" t="s">
        <v>51</v>
      </c>
      <c r="I127" t="s">
        <v>30</v>
      </c>
      <c r="J127" t="s">
        <v>52</v>
      </c>
      <c r="K127">
        <v>2</v>
      </c>
      <c r="L127">
        <v>1498</v>
      </c>
      <c r="M127">
        <v>0</v>
      </c>
      <c r="N127">
        <v>2996</v>
      </c>
      <c r="O127" s="22" t="s">
        <v>32</v>
      </c>
      <c r="Q127" s="48" t="str">
        <v>R144</v>
      </c>
      <c r="R127" s="48" t="str">
        <v>25-05-2025</v>
      </c>
      <c r="S127" s="48" t="str">
        <v>C244</v>
      </c>
      <c r="T127" s="48" t="str">
        <v>Priya</v>
      </c>
      <c r="U127" s="48" t="str">
        <v>F</v>
      </c>
      <c r="V127" s="48">
        <v>42</v>
      </c>
      <c r="W127" s="48" t="str">
        <v>Patna</v>
      </c>
      <c r="X127" s="48" t="str">
        <v>Bihar</v>
      </c>
      <c r="Y127" s="48" t="str">
        <v>Groceries</v>
      </c>
      <c r="Z127" s="48" t="str">
        <v>Sugar</v>
      </c>
      <c r="AA127" s="48">
        <v>3</v>
      </c>
      <c r="AB127" s="48">
        <v>4769</v>
      </c>
      <c r="AC127" s="48">
        <v>20</v>
      </c>
      <c r="AD127" s="48">
        <v>11445.6</v>
      </c>
      <c r="AE127" s="48" t="str">
        <v>Cash</v>
      </c>
    </row>
    <row r="128" spans="1:31">
      <c r="A128" s="20" t="s">
        <v>314</v>
      </c>
      <c r="B128" s="16" t="s">
        <v>315</v>
      </c>
      <c r="C128" t="s">
        <v>316</v>
      </c>
      <c r="D128" t="s">
        <v>125</v>
      </c>
      <c r="E128" t="s">
        <v>37</v>
      </c>
      <c r="F128">
        <v>50</v>
      </c>
      <c r="G128" t="s">
        <v>28</v>
      </c>
      <c r="H128" t="s">
        <v>29</v>
      </c>
      <c r="I128" t="s">
        <v>30</v>
      </c>
      <c r="J128" t="s">
        <v>76</v>
      </c>
      <c r="K128">
        <v>1</v>
      </c>
      <c r="L128">
        <v>2999</v>
      </c>
      <c r="M128">
        <v>5</v>
      </c>
      <c r="N128">
        <v>2849.05</v>
      </c>
      <c r="O128" s="22" t="s">
        <v>65</v>
      </c>
      <c r="Q128" s="48" t="str">
        <v>R036</v>
      </c>
      <c r="R128" s="48" t="str">
        <v>06-02-2025</v>
      </c>
      <c r="S128" s="48" t="str">
        <v>C136</v>
      </c>
      <c r="T128" s="48" t="str">
        <v>Anita</v>
      </c>
      <c r="U128" s="48" t="str">
        <v>F</v>
      </c>
      <c r="V128" s="48">
        <v>24</v>
      </c>
      <c r="W128" s="48" t="str">
        <v>Chandigarh</v>
      </c>
      <c r="X128" s="48" t="str">
        <v>Chandigarh</v>
      </c>
      <c r="Y128" s="48" t="str">
        <v>Clothing</v>
      </c>
      <c r="Z128" s="48" t="str">
        <v>Jeans</v>
      </c>
      <c r="AA128" s="48">
        <v>5</v>
      </c>
      <c r="AB128" s="48">
        <v>2853</v>
      </c>
      <c r="AC128" s="48">
        <v>20</v>
      </c>
      <c r="AD128" s="48">
        <v>11412</v>
      </c>
      <c r="AE128" s="48" t="str">
        <v>Debit Card</v>
      </c>
    </row>
    <row r="129" spans="1:31">
      <c r="A129" s="20" t="s">
        <v>414</v>
      </c>
      <c r="B129" s="16" t="s">
        <v>415</v>
      </c>
      <c r="C129" t="s">
        <v>416</v>
      </c>
      <c r="D129" t="s">
        <v>91</v>
      </c>
      <c r="E129" t="s">
        <v>37</v>
      </c>
      <c r="F129">
        <v>34</v>
      </c>
      <c r="G129" t="s">
        <v>70</v>
      </c>
      <c r="H129" t="s">
        <v>70</v>
      </c>
      <c r="I129" t="s">
        <v>30</v>
      </c>
      <c r="J129" t="s">
        <v>96</v>
      </c>
      <c r="K129">
        <v>3</v>
      </c>
      <c r="L129">
        <v>1031</v>
      </c>
      <c r="M129">
        <v>10</v>
      </c>
      <c r="N129">
        <v>2783.7</v>
      </c>
      <c r="O129" s="22" t="s">
        <v>32</v>
      </c>
      <c r="Q129" s="48" t="str">
        <v>R132</v>
      </c>
      <c r="R129" s="48" t="str">
        <v>13-05-2025</v>
      </c>
      <c r="S129" s="48" t="str">
        <v>C232</v>
      </c>
      <c r="T129" s="48" t="str">
        <v>Sonali</v>
      </c>
      <c r="U129" s="48" t="str">
        <v>F</v>
      </c>
      <c r="V129" s="48">
        <v>50</v>
      </c>
      <c r="W129" s="48" t="str">
        <v>Chandigarh</v>
      </c>
      <c r="X129" s="48" t="str">
        <v>Chandigarh</v>
      </c>
      <c r="Y129" s="48" t="str">
        <v>Electronics</v>
      </c>
      <c r="Z129" s="48" t="str">
        <v>Headphones</v>
      </c>
      <c r="AA129" s="48">
        <v>3</v>
      </c>
      <c r="AB129" s="48">
        <v>4718</v>
      </c>
      <c r="AC129" s="48">
        <v>20</v>
      </c>
      <c r="AD129" s="48">
        <v>11323.2</v>
      </c>
      <c r="AE129" s="48" t="str">
        <v>Debit Card</v>
      </c>
    </row>
    <row r="130" spans="1:31">
      <c r="A130" s="20" t="s">
        <v>142</v>
      </c>
      <c r="B130" s="16" t="s">
        <v>143</v>
      </c>
      <c r="C130" t="s">
        <v>144</v>
      </c>
      <c r="D130" t="s">
        <v>145</v>
      </c>
      <c r="E130" t="s">
        <v>19</v>
      </c>
      <c r="F130">
        <v>50</v>
      </c>
      <c r="G130" t="s">
        <v>20</v>
      </c>
      <c r="H130" t="s">
        <v>20</v>
      </c>
      <c r="I130" t="s">
        <v>30</v>
      </c>
      <c r="J130" t="s">
        <v>76</v>
      </c>
      <c r="K130">
        <v>1</v>
      </c>
      <c r="L130">
        <v>3068</v>
      </c>
      <c r="M130">
        <v>10</v>
      </c>
      <c r="N130">
        <v>2761.2</v>
      </c>
      <c r="O130" s="22" t="s">
        <v>61</v>
      </c>
      <c r="Q130" s="48" t="str">
        <v>R114</v>
      </c>
      <c r="R130" s="48" t="str">
        <v>25-04-2025</v>
      </c>
      <c r="S130" s="48" t="str">
        <v>C214</v>
      </c>
      <c r="T130" s="48" t="str">
        <v>Neha</v>
      </c>
      <c r="U130" s="48" t="str">
        <v>F</v>
      </c>
      <c r="V130" s="48">
        <v>32</v>
      </c>
      <c r="W130" s="48" t="str">
        <v>Jaipur</v>
      </c>
      <c r="X130" s="48" t="str">
        <v>Rajasthan</v>
      </c>
      <c r="Y130" s="48" t="str">
        <v>Furniture</v>
      </c>
      <c r="Z130" s="48" t="str">
        <v>Bookshelf</v>
      </c>
      <c r="AA130" s="48">
        <v>4</v>
      </c>
      <c r="AB130" s="48">
        <v>2600</v>
      </c>
      <c r="AC130" s="48">
        <v>0</v>
      </c>
      <c r="AD130" s="48">
        <v>10400</v>
      </c>
      <c r="AE130" s="48" t="str">
        <v>UPI</v>
      </c>
    </row>
    <row r="131" spans="1:31">
      <c r="A131" s="20" t="s">
        <v>247</v>
      </c>
      <c r="B131" s="16" t="s">
        <v>248</v>
      </c>
      <c r="C131" t="s">
        <v>249</v>
      </c>
      <c r="D131" t="s">
        <v>91</v>
      </c>
      <c r="E131" t="s">
        <v>37</v>
      </c>
      <c r="F131">
        <v>43</v>
      </c>
      <c r="G131" t="s">
        <v>57</v>
      </c>
      <c r="H131" t="s">
        <v>58</v>
      </c>
      <c r="I131" t="s">
        <v>83</v>
      </c>
      <c r="J131" t="s">
        <v>84</v>
      </c>
      <c r="K131">
        <v>2</v>
      </c>
      <c r="L131">
        <v>1292</v>
      </c>
      <c r="M131">
        <v>0</v>
      </c>
      <c r="N131">
        <v>2584</v>
      </c>
      <c r="O131" s="22" t="s">
        <v>32</v>
      </c>
      <c r="Q131" s="48" t="str">
        <v>R065</v>
      </c>
      <c r="R131" s="48" t="str">
        <v>07-03-2025</v>
      </c>
      <c r="S131" s="48" t="str">
        <v>C165</v>
      </c>
      <c r="T131" s="48" t="str">
        <v>Anita</v>
      </c>
      <c r="U131" s="48" t="str">
        <v>F</v>
      </c>
      <c r="V131" s="48">
        <v>43</v>
      </c>
      <c r="W131" s="48" t="str">
        <v>Mumbai</v>
      </c>
      <c r="X131" s="48" t="str">
        <v>Maharashtra</v>
      </c>
      <c r="Y131" s="48" t="str">
        <v>Electronics</v>
      </c>
      <c r="Z131" s="48" t="str">
        <v>Bluetooth Speaker</v>
      </c>
      <c r="AA131" s="48">
        <v>4</v>
      </c>
      <c r="AB131" s="48">
        <v>3249</v>
      </c>
      <c r="AC131" s="48">
        <v>20</v>
      </c>
      <c r="AD131" s="48">
        <v>10396.8</v>
      </c>
      <c r="AE131" s="48" t="str">
        <v>Credit Card</v>
      </c>
    </row>
    <row r="132" spans="1:31">
      <c r="A132" s="20" t="s">
        <v>311</v>
      </c>
      <c r="B132" s="16" t="s">
        <v>312</v>
      </c>
      <c r="C132" t="s">
        <v>313</v>
      </c>
      <c r="D132" t="s">
        <v>27</v>
      </c>
      <c r="E132" t="s">
        <v>19</v>
      </c>
      <c r="F132">
        <v>28</v>
      </c>
      <c r="G132" t="s">
        <v>28</v>
      </c>
      <c r="H132" t="s">
        <v>29</v>
      </c>
      <c r="I132" t="s">
        <v>83</v>
      </c>
      <c r="J132" t="s">
        <v>164</v>
      </c>
      <c r="K132">
        <v>1</v>
      </c>
      <c r="L132">
        <v>2855</v>
      </c>
      <c r="M132">
        <v>15</v>
      </c>
      <c r="N132">
        <v>2426.75</v>
      </c>
      <c r="O132" s="22" t="s">
        <v>65</v>
      </c>
      <c r="Q132" s="48" t="str">
        <v>R071</v>
      </c>
      <c r="R132" s="48" t="str">
        <v>13-03-2025</v>
      </c>
      <c r="S132" s="48" t="str">
        <v>C171</v>
      </c>
      <c r="T132" s="48" t="str">
        <v>Vikram</v>
      </c>
      <c r="U132" s="48" t="str">
        <v>M</v>
      </c>
      <c r="V132" s="48">
        <v>20</v>
      </c>
      <c r="W132" s="48" t="str">
        <v>Jaipur</v>
      </c>
      <c r="X132" s="48" t="str">
        <v>Rajasthan</v>
      </c>
      <c r="Y132" s="48" t="str">
        <v>Clothing</v>
      </c>
      <c r="Z132" s="48" t="str">
        <v>Formal Shirt</v>
      </c>
      <c r="AA132" s="48">
        <v>3</v>
      </c>
      <c r="AB132" s="48">
        <v>4254</v>
      </c>
      <c r="AC132" s="48">
        <v>20</v>
      </c>
      <c r="AD132" s="48">
        <v>10209.6</v>
      </c>
      <c r="AE132" s="48" t="str">
        <v>Credit Card</v>
      </c>
    </row>
    <row r="133" spans="1:31">
      <c r="A133" s="20" t="s">
        <v>266</v>
      </c>
      <c r="B133" s="16" t="s">
        <v>267</v>
      </c>
      <c r="C133" t="s">
        <v>268</v>
      </c>
      <c r="D133" t="s">
        <v>125</v>
      </c>
      <c r="E133" t="s">
        <v>37</v>
      </c>
      <c r="F133">
        <v>35</v>
      </c>
      <c r="G133" t="s">
        <v>81</v>
      </c>
      <c r="H133" t="s">
        <v>82</v>
      </c>
      <c r="I133" t="s">
        <v>83</v>
      </c>
      <c r="J133" t="s">
        <v>133</v>
      </c>
      <c r="K133">
        <v>4</v>
      </c>
      <c r="L133">
        <v>710</v>
      </c>
      <c r="M133">
        <v>15</v>
      </c>
      <c r="N133">
        <v>2414</v>
      </c>
      <c r="O133" s="22" t="s">
        <v>23</v>
      </c>
      <c r="Q133" s="48" t="str">
        <v>R007</v>
      </c>
      <c r="R133" s="48" t="str">
        <v>08-01-2025</v>
      </c>
      <c r="S133" s="48" t="str">
        <v>C107</v>
      </c>
      <c r="T133" s="48" t="str">
        <v>Anita</v>
      </c>
      <c r="U133" s="48" t="str">
        <v>F</v>
      </c>
      <c r="V133" s="48">
        <v>20</v>
      </c>
      <c r="W133" s="48" t="str">
        <v>Kochi</v>
      </c>
      <c r="X133" s="48" t="str">
        <v>Kerala</v>
      </c>
      <c r="Y133" s="48" t="str">
        <v>Clothing</v>
      </c>
      <c r="Z133" s="48" t="str">
        <v>Jacket</v>
      </c>
      <c r="AA133" s="48">
        <v>3</v>
      </c>
      <c r="AB133" s="48">
        <v>3392</v>
      </c>
      <c r="AC133" s="48">
        <v>0</v>
      </c>
      <c r="AD133" s="48">
        <v>10176</v>
      </c>
      <c r="AE133" s="48" t="str">
        <v>Credit Card</v>
      </c>
    </row>
    <row r="134" spans="1:15">
      <c r="A134" s="20" t="s">
        <v>111</v>
      </c>
      <c r="B134" s="16" t="s">
        <v>112</v>
      </c>
      <c r="C134" t="s">
        <v>113</v>
      </c>
      <c r="D134" t="s">
        <v>114</v>
      </c>
      <c r="E134" t="s">
        <v>37</v>
      </c>
      <c r="F134">
        <v>23</v>
      </c>
      <c r="G134" t="s">
        <v>38</v>
      </c>
      <c r="H134" t="s">
        <v>39</v>
      </c>
      <c r="I134" t="s">
        <v>83</v>
      </c>
      <c r="J134" t="s">
        <v>92</v>
      </c>
      <c r="K134">
        <v>2</v>
      </c>
      <c r="L134">
        <v>1479</v>
      </c>
      <c r="M134">
        <v>20</v>
      </c>
      <c r="N134">
        <v>2366.4</v>
      </c>
      <c r="O134" s="22" t="s">
        <v>65</v>
      </c>
    </row>
    <row r="135" spans="1:15">
      <c r="A135" s="20" t="s">
        <v>106</v>
      </c>
      <c r="B135" s="16" t="s">
        <v>107</v>
      </c>
      <c r="C135" t="s">
        <v>108</v>
      </c>
      <c r="D135" t="s">
        <v>109</v>
      </c>
      <c r="E135" t="s">
        <v>19</v>
      </c>
      <c r="F135">
        <v>22</v>
      </c>
      <c r="G135" t="s">
        <v>43</v>
      </c>
      <c r="H135" t="s">
        <v>44</v>
      </c>
      <c r="I135" t="s">
        <v>59</v>
      </c>
      <c r="J135" t="s">
        <v>110</v>
      </c>
      <c r="K135">
        <v>3</v>
      </c>
      <c r="L135">
        <v>933</v>
      </c>
      <c r="M135">
        <v>20</v>
      </c>
      <c r="N135">
        <v>2239.2</v>
      </c>
      <c r="O135" s="22" t="s">
        <v>23</v>
      </c>
    </row>
    <row r="136" spans="1:15">
      <c r="A136" s="20" t="s">
        <v>263</v>
      </c>
      <c r="B136" s="16" t="s">
        <v>264</v>
      </c>
      <c r="C136" t="s">
        <v>265</v>
      </c>
      <c r="D136" t="s">
        <v>49</v>
      </c>
      <c r="E136" t="s">
        <v>19</v>
      </c>
      <c r="F136">
        <v>37</v>
      </c>
      <c r="G136" t="s">
        <v>57</v>
      </c>
      <c r="H136" t="s">
        <v>58</v>
      </c>
      <c r="I136" t="s">
        <v>21</v>
      </c>
      <c r="J136" t="s">
        <v>190</v>
      </c>
      <c r="K136">
        <v>4</v>
      </c>
      <c r="L136">
        <v>500</v>
      </c>
      <c r="M136">
        <v>0</v>
      </c>
      <c r="N136">
        <v>2000</v>
      </c>
      <c r="O136" s="22" t="s">
        <v>23</v>
      </c>
    </row>
    <row r="137" spans="1:15">
      <c r="A137" s="20" t="s">
        <v>281</v>
      </c>
      <c r="B137" s="16" t="s">
        <v>282</v>
      </c>
      <c r="C137" t="s">
        <v>283</v>
      </c>
      <c r="D137" t="s">
        <v>36</v>
      </c>
      <c r="E137" t="s">
        <v>37</v>
      </c>
      <c r="F137">
        <v>47</v>
      </c>
      <c r="G137" t="s">
        <v>50</v>
      </c>
      <c r="H137" t="s">
        <v>51</v>
      </c>
      <c r="I137" t="s">
        <v>30</v>
      </c>
      <c r="J137" t="s">
        <v>76</v>
      </c>
      <c r="K137">
        <v>1</v>
      </c>
      <c r="L137">
        <v>2341</v>
      </c>
      <c r="M137">
        <v>15</v>
      </c>
      <c r="N137">
        <v>1989.85</v>
      </c>
      <c r="O137" s="22" t="s">
        <v>23</v>
      </c>
    </row>
    <row r="138" spans="1:15">
      <c r="A138" s="20" t="s">
        <v>214</v>
      </c>
      <c r="B138" s="16" t="s">
        <v>215</v>
      </c>
      <c r="C138" t="s">
        <v>216</v>
      </c>
      <c r="D138" t="s">
        <v>36</v>
      </c>
      <c r="E138" t="s">
        <v>37</v>
      </c>
      <c r="F138">
        <v>23</v>
      </c>
      <c r="G138" t="s">
        <v>140</v>
      </c>
      <c r="H138" t="s">
        <v>141</v>
      </c>
      <c r="I138" t="s">
        <v>30</v>
      </c>
      <c r="J138" t="s">
        <v>45</v>
      </c>
      <c r="K138">
        <v>2</v>
      </c>
      <c r="L138">
        <v>1087</v>
      </c>
      <c r="M138">
        <v>15</v>
      </c>
      <c r="N138">
        <v>1847.9</v>
      </c>
      <c r="O138" s="22" t="s">
        <v>61</v>
      </c>
    </row>
    <row r="139" spans="1:15">
      <c r="A139" s="20" t="s">
        <v>15</v>
      </c>
      <c r="B139" s="16" t="s">
        <v>16</v>
      </c>
      <c r="C139" t="s">
        <v>17</v>
      </c>
      <c r="D139" t="s">
        <v>18</v>
      </c>
      <c r="E139" t="s">
        <v>19</v>
      </c>
      <c r="F139">
        <v>35</v>
      </c>
      <c r="G139" t="s">
        <v>20</v>
      </c>
      <c r="H139" t="s">
        <v>20</v>
      </c>
      <c r="I139" t="s">
        <v>21</v>
      </c>
      <c r="J139" t="s">
        <v>22</v>
      </c>
      <c r="K139">
        <v>1</v>
      </c>
      <c r="L139">
        <v>1760</v>
      </c>
      <c r="M139">
        <v>5</v>
      </c>
      <c r="N139">
        <v>1672</v>
      </c>
      <c r="O139" s="22" t="s">
        <v>23</v>
      </c>
    </row>
    <row r="140" spans="1:15">
      <c r="A140" s="20" t="s">
        <v>238</v>
      </c>
      <c r="B140" s="16" t="s">
        <v>239</v>
      </c>
      <c r="C140" t="s">
        <v>240</v>
      </c>
      <c r="D140" t="s">
        <v>18</v>
      </c>
      <c r="E140" t="s">
        <v>19</v>
      </c>
      <c r="F140">
        <v>44</v>
      </c>
      <c r="G140" t="s">
        <v>38</v>
      </c>
      <c r="H140" t="s">
        <v>39</v>
      </c>
      <c r="I140" t="s">
        <v>83</v>
      </c>
      <c r="J140" t="s">
        <v>133</v>
      </c>
      <c r="K140">
        <v>1</v>
      </c>
      <c r="L140">
        <v>1617</v>
      </c>
      <c r="M140">
        <v>5</v>
      </c>
      <c r="N140">
        <v>1536.15</v>
      </c>
      <c r="O140" s="22" t="s">
        <v>65</v>
      </c>
    </row>
    <row r="141" spans="1:15">
      <c r="A141" s="20" t="s">
        <v>284</v>
      </c>
      <c r="B141" s="16" t="s">
        <v>285</v>
      </c>
      <c r="C141" t="s">
        <v>286</v>
      </c>
      <c r="D141" t="s">
        <v>163</v>
      </c>
      <c r="E141" t="s">
        <v>19</v>
      </c>
      <c r="F141">
        <v>47</v>
      </c>
      <c r="G141" t="s">
        <v>20</v>
      </c>
      <c r="H141" t="s">
        <v>20</v>
      </c>
      <c r="I141" t="s">
        <v>83</v>
      </c>
      <c r="J141" t="s">
        <v>92</v>
      </c>
      <c r="K141">
        <v>2</v>
      </c>
      <c r="L141">
        <v>894</v>
      </c>
      <c r="M141">
        <v>20</v>
      </c>
      <c r="N141">
        <v>1430.4</v>
      </c>
      <c r="O141" s="22" t="s">
        <v>65</v>
      </c>
    </row>
    <row r="142" spans="1:15">
      <c r="A142" s="20" t="s">
        <v>402</v>
      </c>
      <c r="B142" s="16" t="s">
        <v>403</v>
      </c>
      <c r="C142" t="s">
        <v>404</v>
      </c>
      <c r="D142" t="s">
        <v>36</v>
      </c>
      <c r="E142" t="s">
        <v>37</v>
      </c>
      <c r="F142">
        <v>44</v>
      </c>
      <c r="G142" t="s">
        <v>20</v>
      </c>
      <c r="H142" t="s">
        <v>20</v>
      </c>
      <c r="I142" t="s">
        <v>59</v>
      </c>
      <c r="J142" t="s">
        <v>171</v>
      </c>
      <c r="K142">
        <v>2</v>
      </c>
      <c r="L142">
        <v>893</v>
      </c>
      <c r="M142">
        <v>20</v>
      </c>
      <c r="N142">
        <v>1428.8</v>
      </c>
      <c r="O142" s="22" t="s">
        <v>23</v>
      </c>
    </row>
    <row r="143" spans="1:15">
      <c r="A143" s="20" t="s">
        <v>175</v>
      </c>
      <c r="B143" s="16" t="s">
        <v>176</v>
      </c>
      <c r="C143" t="s">
        <v>177</v>
      </c>
      <c r="D143" t="s">
        <v>49</v>
      </c>
      <c r="E143" t="s">
        <v>19</v>
      </c>
      <c r="F143">
        <v>20</v>
      </c>
      <c r="G143" t="s">
        <v>70</v>
      </c>
      <c r="H143" t="s">
        <v>70</v>
      </c>
      <c r="I143" t="s">
        <v>21</v>
      </c>
      <c r="J143" t="s">
        <v>129</v>
      </c>
      <c r="K143">
        <v>3</v>
      </c>
      <c r="L143">
        <v>329</v>
      </c>
      <c r="M143">
        <v>10</v>
      </c>
      <c r="N143">
        <v>888.3</v>
      </c>
      <c r="O143" s="22" t="s">
        <v>32</v>
      </c>
    </row>
    <row r="144" spans="1:15">
      <c r="A144" s="20" t="s">
        <v>519</v>
      </c>
      <c r="B144" s="16" t="s">
        <v>520</v>
      </c>
      <c r="C144" t="s">
        <v>521</v>
      </c>
      <c r="D144" t="s">
        <v>159</v>
      </c>
      <c r="E144" t="s">
        <v>19</v>
      </c>
      <c r="F144">
        <v>46</v>
      </c>
      <c r="G144" t="s">
        <v>38</v>
      </c>
      <c r="H144" t="s">
        <v>39</v>
      </c>
      <c r="I144" t="s">
        <v>21</v>
      </c>
      <c r="J144" t="s">
        <v>197</v>
      </c>
      <c r="K144">
        <v>1</v>
      </c>
      <c r="L144">
        <v>969</v>
      </c>
      <c r="M144">
        <v>10</v>
      </c>
      <c r="N144">
        <v>872.1</v>
      </c>
      <c r="O144" s="22" t="s">
        <v>32</v>
      </c>
    </row>
    <row r="145" spans="1:15">
      <c r="A145" s="20" t="s">
        <v>435</v>
      </c>
      <c r="B145" s="16" t="s">
        <v>436</v>
      </c>
      <c r="C145" t="s">
        <v>437</v>
      </c>
      <c r="D145" t="s">
        <v>36</v>
      </c>
      <c r="E145" t="s">
        <v>37</v>
      </c>
      <c r="F145">
        <v>49</v>
      </c>
      <c r="G145" t="s">
        <v>100</v>
      </c>
      <c r="H145" t="s">
        <v>101</v>
      </c>
      <c r="I145" t="s">
        <v>21</v>
      </c>
      <c r="J145" t="s">
        <v>197</v>
      </c>
      <c r="K145">
        <v>1</v>
      </c>
      <c r="L145">
        <v>1068</v>
      </c>
      <c r="M145">
        <v>20</v>
      </c>
      <c r="N145">
        <v>854.4</v>
      </c>
      <c r="O145" s="22" t="s">
        <v>32</v>
      </c>
    </row>
    <row r="146" spans="1:15">
      <c r="A146" s="20" t="s">
        <v>165</v>
      </c>
      <c r="B146" s="16" t="s">
        <v>166</v>
      </c>
      <c r="C146" t="s">
        <v>167</v>
      </c>
      <c r="D146" t="s">
        <v>18</v>
      </c>
      <c r="E146" t="s">
        <v>19</v>
      </c>
      <c r="F146">
        <v>50</v>
      </c>
      <c r="G146" t="s">
        <v>140</v>
      </c>
      <c r="H146" t="s">
        <v>141</v>
      </c>
      <c r="I146" t="s">
        <v>21</v>
      </c>
      <c r="J146" t="s">
        <v>129</v>
      </c>
      <c r="K146">
        <v>2</v>
      </c>
      <c r="L146">
        <v>254</v>
      </c>
      <c r="M146">
        <v>0</v>
      </c>
      <c r="N146">
        <v>508</v>
      </c>
      <c r="O146" s="22" t="s">
        <v>61</v>
      </c>
    </row>
    <row r="147" spans="1:15">
      <c r="A147" s="20" t="s">
        <v>396</v>
      </c>
      <c r="B147" s="16" t="s">
        <v>397</v>
      </c>
      <c r="C147" t="s">
        <v>398</v>
      </c>
      <c r="D147" t="s">
        <v>145</v>
      </c>
      <c r="E147" t="s">
        <v>19</v>
      </c>
      <c r="F147">
        <v>40</v>
      </c>
      <c r="G147" t="s">
        <v>28</v>
      </c>
      <c r="H147" t="s">
        <v>29</v>
      </c>
      <c r="I147" t="s">
        <v>59</v>
      </c>
      <c r="J147" t="s">
        <v>60</v>
      </c>
      <c r="K147">
        <v>1</v>
      </c>
      <c r="L147">
        <v>517</v>
      </c>
      <c r="M147">
        <v>10</v>
      </c>
      <c r="N147">
        <v>465.3</v>
      </c>
      <c r="O147" s="22" t="s">
        <v>65</v>
      </c>
    </row>
    <row r="148" spans="1:15">
      <c r="A148" s="20" t="s">
        <v>528</v>
      </c>
      <c r="B148" s="16" t="s">
        <v>529</v>
      </c>
      <c r="C148" t="s">
        <v>530</v>
      </c>
      <c r="D148" t="s">
        <v>204</v>
      </c>
      <c r="E148" t="s">
        <v>37</v>
      </c>
      <c r="F148">
        <v>47</v>
      </c>
      <c r="G148" t="s">
        <v>20</v>
      </c>
      <c r="H148" t="s">
        <v>20</v>
      </c>
      <c r="I148" t="s">
        <v>83</v>
      </c>
      <c r="J148" t="s">
        <v>92</v>
      </c>
      <c r="K148">
        <v>1</v>
      </c>
      <c r="L148">
        <v>541</v>
      </c>
      <c r="M148">
        <v>15</v>
      </c>
      <c r="N148">
        <v>459.85</v>
      </c>
      <c r="O148" s="22" t="s">
        <v>32</v>
      </c>
    </row>
    <row r="149" spans="1:15">
      <c r="A149" s="20" t="s">
        <v>226</v>
      </c>
      <c r="B149" s="16" t="s">
        <v>227</v>
      </c>
      <c r="C149" t="s">
        <v>228</v>
      </c>
      <c r="D149" t="s">
        <v>69</v>
      </c>
      <c r="E149" t="s">
        <v>37</v>
      </c>
      <c r="F149">
        <v>36</v>
      </c>
      <c r="G149" t="s">
        <v>81</v>
      </c>
      <c r="H149" t="s">
        <v>82</v>
      </c>
      <c r="I149" t="s">
        <v>59</v>
      </c>
      <c r="J149" t="s">
        <v>110</v>
      </c>
      <c r="K149">
        <v>1</v>
      </c>
      <c r="L149">
        <v>456</v>
      </c>
      <c r="M149">
        <v>5</v>
      </c>
      <c r="N149">
        <v>433.2</v>
      </c>
      <c r="O149" s="22" t="s">
        <v>65</v>
      </c>
    </row>
    <row r="150" spans="1:15">
      <c r="A150" s="20" t="s">
        <v>299</v>
      </c>
      <c r="B150" s="16" t="s">
        <v>300</v>
      </c>
      <c r="C150" t="s">
        <v>301</v>
      </c>
      <c r="D150" t="s">
        <v>109</v>
      </c>
      <c r="E150" t="s">
        <v>19</v>
      </c>
      <c r="F150">
        <v>34</v>
      </c>
      <c r="G150" t="s">
        <v>140</v>
      </c>
      <c r="H150" t="s">
        <v>141</v>
      </c>
      <c r="I150" t="s">
        <v>30</v>
      </c>
      <c r="J150" t="s">
        <v>96</v>
      </c>
      <c r="K150">
        <v>1</v>
      </c>
      <c r="L150">
        <v>272</v>
      </c>
      <c r="M150">
        <v>5</v>
      </c>
      <c r="N150">
        <v>258.4</v>
      </c>
      <c r="O150" s="22" t="s">
        <v>32</v>
      </c>
    </row>
    <row r="151" ht="15.75" spans="1:15">
      <c r="A151" s="49" t="s">
        <v>489</v>
      </c>
      <c r="B151" s="50" t="s">
        <v>490</v>
      </c>
      <c r="C151" s="51" t="s">
        <v>491</v>
      </c>
      <c r="D151" s="51" t="s">
        <v>80</v>
      </c>
      <c r="E151" s="51" t="s">
        <v>19</v>
      </c>
      <c r="F151" s="51">
        <v>32</v>
      </c>
      <c r="G151" s="51" t="s">
        <v>140</v>
      </c>
      <c r="H151" s="51" t="s">
        <v>141</v>
      </c>
      <c r="I151" s="51" t="s">
        <v>83</v>
      </c>
      <c r="J151" s="51" t="s">
        <v>118</v>
      </c>
      <c r="K151" s="51">
        <v>1</v>
      </c>
      <c r="L151" s="51">
        <v>293</v>
      </c>
      <c r="M151" s="51">
        <v>15</v>
      </c>
      <c r="N151" s="51">
        <v>249.05</v>
      </c>
      <c r="O151" s="52" t="s">
        <v>23</v>
      </c>
    </row>
  </sheetData>
  <sortState ref="Q68:Q133">
    <sortCondition ref="Q7"/>
  </sortState>
  <mergeCells count="5">
    <mergeCell ref="Q11:R11"/>
    <mergeCell ref="Q4:U5"/>
    <mergeCell ref="Q8:S9"/>
    <mergeCell ref="Q15:U16"/>
    <mergeCell ref="Q64:U65"/>
  </mergeCells>
  <dataValidations count="1">
    <dataValidation type="list" allowBlank="1" showInputMessage="1" showErrorMessage="1" sqref="R6">
      <formula1>$J$2:$J$151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38"/>
  <sheetViews>
    <sheetView tabSelected="1" workbookViewId="0">
      <selection activeCell="E17" sqref="E17"/>
    </sheetView>
  </sheetViews>
  <sheetFormatPr defaultColWidth="9.14285714285714" defaultRowHeight="15" outlineLevelCol="2"/>
  <cols>
    <col min="1" max="1" width="19"/>
    <col min="2" max="2" width="21.5714285714286" customWidth="1"/>
    <col min="4" max="4" width="18.5714285714286" customWidth="1"/>
    <col min="5" max="6" width="21.5714285714286" customWidth="1"/>
  </cols>
  <sheetData>
    <row r="3" spans="1:3">
      <c r="A3" s="1" t="s">
        <v>549</v>
      </c>
      <c r="B3" s="1"/>
      <c r="C3" s="1"/>
    </row>
    <row r="4" spans="1:3">
      <c r="A4" s="1"/>
      <c r="B4" s="1"/>
      <c r="C4" s="1"/>
    </row>
    <row r="5" ht="15.75"/>
    <row r="6" spans="1:2">
      <c r="A6" s="2" t="s">
        <v>3</v>
      </c>
      <c r="B6" s="3" t="s">
        <v>550</v>
      </c>
    </row>
    <row r="7" spans="1:2">
      <c r="A7" s="4" t="s">
        <v>163</v>
      </c>
      <c r="B7" s="5">
        <v>83445</v>
      </c>
    </row>
    <row r="8" spans="1:2">
      <c r="A8" s="4" t="s">
        <v>36</v>
      </c>
      <c r="B8" s="5">
        <v>92995.5</v>
      </c>
    </row>
    <row r="9" spans="1:2">
      <c r="A9" s="4" t="s">
        <v>18</v>
      </c>
      <c r="B9" s="5">
        <v>118415.75</v>
      </c>
    </row>
    <row r="10" ht="15.75" spans="1:2">
      <c r="A10" s="6" t="s">
        <v>551</v>
      </c>
      <c r="B10" s="7">
        <v>294856.25</v>
      </c>
    </row>
    <row r="16" spans="1:3">
      <c r="A16" s="8" t="s">
        <v>552</v>
      </c>
      <c r="B16" s="9"/>
      <c r="C16" s="10"/>
    </row>
    <row r="17" spans="1:3">
      <c r="A17" s="11"/>
      <c r="B17" s="12"/>
      <c r="C17" s="13"/>
    </row>
    <row r="18" ht="15.75"/>
    <row r="19" spans="1:2">
      <c r="A19" s="2" t="s">
        <v>9</v>
      </c>
      <c r="B19" s="3" t="s">
        <v>553</v>
      </c>
    </row>
    <row r="20" spans="1:2">
      <c r="A20" s="4" t="s">
        <v>164</v>
      </c>
      <c r="B20" s="5">
        <v>43550</v>
      </c>
    </row>
    <row r="21" spans="1:2">
      <c r="A21" s="4" t="s">
        <v>197</v>
      </c>
      <c r="B21" s="5">
        <v>31071</v>
      </c>
    </row>
    <row r="22" spans="1:2">
      <c r="A22" s="4" t="s">
        <v>110</v>
      </c>
      <c r="B22" s="5">
        <v>35191</v>
      </c>
    </row>
    <row r="23" spans="1:2">
      <c r="A23" s="4" t="s">
        <v>45</v>
      </c>
      <c r="B23" s="5">
        <v>31985</v>
      </c>
    </row>
    <row r="24" spans="1:2">
      <c r="A24" s="4" t="s">
        <v>133</v>
      </c>
      <c r="B24" s="5">
        <v>43866</v>
      </c>
    </row>
    <row r="25" spans="1:2">
      <c r="A25" s="4" t="s">
        <v>52</v>
      </c>
      <c r="B25" s="5">
        <v>33736</v>
      </c>
    </row>
    <row r="26" spans="1:2">
      <c r="A26" s="4" t="s">
        <v>76</v>
      </c>
      <c r="B26" s="5">
        <v>38785</v>
      </c>
    </row>
    <row r="27" spans="1:2">
      <c r="A27" s="4" t="s">
        <v>96</v>
      </c>
      <c r="B27" s="5">
        <v>28084</v>
      </c>
    </row>
    <row r="28" spans="1:2">
      <c r="A28" s="4" t="s">
        <v>22</v>
      </c>
      <c r="B28" s="5">
        <v>41972</v>
      </c>
    </row>
    <row r="29" spans="1:2">
      <c r="A29" s="4" t="s">
        <v>84</v>
      </c>
      <c r="B29" s="5">
        <v>15752</v>
      </c>
    </row>
    <row r="30" spans="1:2">
      <c r="A30" s="4" t="s">
        <v>60</v>
      </c>
      <c r="B30" s="5">
        <v>30570</v>
      </c>
    </row>
    <row r="31" spans="1:2">
      <c r="A31" s="4" t="s">
        <v>118</v>
      </c>
      <c r="B31" s="5">
        <v>25016</v>
      </c>
    </row>
    <row r="32" spans="1:2">
      <c r="A32" s="4" t="s">
        <v>190</v>
      </c>
      <c r="B32" s="5">
        <v>31087</v>
      </c>
    </row>
    <row r="33" spans="1:2">
      <c r="A33" s="4" t="s">
        <v>92</v>
      </c>
      <c r="B33" s="5">
        <v>42714</v>
      </c>
    </row>
    <row r="34" spans="1:2">
      <c r="A34" s="4" t="s">
        <v>129</v>
      </c>
      <c r="B34" s="5">
        <v>38544</v>
      </c>
    </row>
    <row r="35" spans="1:2">
      <c r="A35" s="4" t="s">
        <v>171</v>
      </c>
      <c r="B35" s="5">
        <v>46187</v>
      </c>
    </row>
    <row r="36" spans="1:2">
      <c r="A36" s="4" t="s">
        <v>31</v>
      </c>
      <c r="B36" s="5">
        <v>22334</v>
      </c>
    </row>
    <row r="37" spans="1:2">
      <c r="A37" s="4" t="s">
        <v>71</v>
      </c>
      <c r="B37" s="5">
        <v>39399</v>
      </c>
    </row>
    <row r="38" ht="15.75" spans="1:2">
      <c r="A38" s="14" t="s">
        <v>551</v>
      </c>
      <c r="B38" s="15">
        <v>619843</v>
      </c>
    </row>
  </sheetData>
  <mergeCells count="2">
    <mergeCell ref="A3:C4"/>
    <mergeCell ref="A16:C17"/>
  </mergeCells>
  <pageMargins left="0.75" right="0.75" top="1" bottom="1" header="0.5" footer="0.5"/>
  <headerFooter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Retail_Sales_Data</vt:lpstr>
      <vt:lpstr>Logical Functions</vt:lpstr>
      <vt:lpstr>Sales Data</vt:lpstr>
      <vt:lpstr>Product Details</vt:lpstr>
      <vt:lpstr>Sortfilter</vt:lpstr>
      <vt:lpstr>Pivot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ananya nath</cp:lastModifiedBy>
  <dcterms:created xsi:type="dcterms:W3CDTF">2026-02-02T20:52:00Z</dcterms:created>
  <dcterms:modified xsi:type="dcterms:W3CDTF">2026-02-12T09:09:16Z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CC73C54651E0457FA0E49556AE257109_13</vt:lpwstr>
  </property>
  <property fmtid="{D5CDD505-2E9C-101B-9397-08002B2CF9AE}" pid="3" name="KSOProductBuildVer">
    <vt:lpwstr>1033-12.2.0.23196</vt:lpwstr>
  </property>
</Properties>
</file>